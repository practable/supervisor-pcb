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0"/>
</workbook>
</file>

<file path=xl/calcChain.xml><?xml version="1.0" encoding="utf-8"?>
<calcChain xmlns="http://schemas.openxmlformats.org/spreadsheetml/2006/main">
  <c r="H58" i="1" l="1"/>
  <c r="H59" i="1"/>
  <c r="P59" i="1" s="1"/>
  <c r="H60" i="1"/>
  <c r="H4" i="1"/>
  <c r="P4" i="1" s="1"/>
  <c r="H5" i="1"/>
  <c r="P5" i="1" s="1"/>
  <c r="H6" i="1"/>
  <c r="P6" i="1" s="1"/>
  <c r="H7" i="1"/>
  <c r="P7" i="1" s="1"/>
  <c r="H8" i="1"/>
  <c r="P8" i="1" s="1"/>
  <c r="H9" i="1"/>
  <c r="P9" i="1" s="1"/>
  <c r="H10" i="1"/>
  <c r="P10" i="1" s="1"/>
  <c r="H11" i="1"/>
  <c r="P11" i="1" s="1"/>
  <c r="H12" i="1"/>
  <c r="P12" i="1" s="1"/>
  <c r="H13" i="1"/>
  <c r="P13" i="1" s="1"/>
  <c r="H14" i="1"/>
  <c r="P14" i="1" s="1"/>
  <c r="H15" i="1"/>
  <c r="P15" i="1" s="1"/>
  <c r="H16" i="1"/>
  <c r="P16" i="1" s="1"/>
  <c r="H17" i="1"/>
  <c r="P17" i="1" s="1"/>
  <c r="H18" i="1"/>
  <c r="P18" i="1" s="1"/>
  <c r="H19" i="1"/>
  <c r="P19" i="1" s="1"/>
  <c r="H20" i="1"/>
  <c r="P20" i="1" s="1"/>
  <c r="H21" i="1"/>
  <c r="P21" i="1" s="1"/>
  <c r="H22" i="1"/>
  <c r="P22" i="1" s="1"/>
  <c r="H23" i="1"/>
  <c r="P23" i="1" s="1"/>
  <c r="H24" i="1"/>
  <c r="P24" i="1" s="1"/>
  <c r="H25" i="1"/>
  <c r="P25" i="1" s="1"/>
  <c r="H26" i="1"/>
  <c r="P26" i="1" s="1"/>
  <c r="H27" i="1"/>
  <c r="P27" i="1" s="1"/>
  <c r="H28" i="1"/>
  <c r="P28" i="1" s="1"/>
  <c r="H29" i="1"/>
  <c r="P29" i="1" s="1"/>
  <c r="H30" i="1"/>
  <c r="P30" i="1" s="1"/>
  <c r="H31" i="1"/>
  <c r="P31" i="1" s="1"/>
  <c r="H32" i="1"/>
  <c r="P32" i="1" s="1"/>
  <c r="H33" i="1"/>
  <c r="P33" i="1" s="1"/>
  <c r="H34" i="1"/>
  <c r="P34" i="1" s="1"/>
  <c r="H35" i="1"/>
  <c r="P35" i="1" s="1"/>
  <c r="H36" i="1"/>
  <c r="P36" i="1" s="1"/>
  <c r="H37" i="1"/>
  <c r="P37" i="1" s="1"/>
  <c r="H38" i="1"/>
  <c r="P38" i="1" s="1"/>
  <c r="H39" i="1"/>
  <c r="P39" i="1" s="1"/>
  <c r="H40" i="1"/>
  <c r="P40" i="1" s="1"/>
  <c r="H41" i="1"/>
  <c r="P41" i="1" s="1"/>
  <c r="H42" i="1"/>
  <c r="P42" i="1" s="1"/>
  <c r="H43" i="1"/>
  <c r="P43" i="1" s="1"/>
  <c r="H45" i="1"/>
  <c r="P45" i="1" s="1"/>
  <c r="H46" i="1"/>
  <c r="P46" i="1" s="1"/>
  <c r="H53" i="1"/>
  <c r="P53" i="1" s="1"/>
  <c r="H54" i="1"/>
  <c r="P54" i="1" s="1"/>
  <c r="H55" i="1"/>
  <c r="P55" i="1" s="1"/>
  <c r="H50" i="1"/>
  <c r="P50" i="1" s="1"/>
  <c r="H51" i="1"/>
  <c r="P51" i="1" s="1"/>
  <c r="H52" i="1"/>
  <c r="P52" i="1" s="1"/>
  <c r="H56" i="1"/>
  <c r="P56" i="1" s="1"/>
  <c r="H57" i="1"/>
  <c r="P57" i="1" s="1"/>
  <c r="H61" i="1"/>
  <c r="P61" i="1" s="1"/>
  <c r="H62" i="1"/>
  <c r="P62" i="1" s="1"/>
  <c r="H47" i="1"/>
  <c r="P47" i="1" s="1"/>
  <c r="H63" i="1"/>
  <c r="P63" i="1" s="1"/>
  <c r="H64" i="1"/>
  <c r="P64" i="1" s="1"/>
  <c r="H65" i="1"/>
  <c r="P65" i="1" s="1"/>
  <c r="H66" i="1"/>
  <c r="P66" i="1" s="1"/>
  <c r="H67" i="1"/>
  <c r="P67" i="1" s="1"/>
  <c r="H68" i="1"/>
  <c r="P68" i="1" s="1"/>
  <c r="H69" i="1"/>
  <c r="P69" i="1" s="1"/>
  <c r="H70" i="1"/>
  <c r="P70" i="1" s="1"/>
  <c r="H71" i="1"/>
  <c r="P71" i="1" s="1"/>
  <c r="H72" i="1"/>
  <c r="P72" i="1" s="1"/>
  <c r="H73" i="1"/>
  <c r="P73" i="1" s="1"/>
  <c r="H74" i="1"/>
  <c r="P74" i="1" s="1"/>
  <c r="H75" i="1"/>
  <c r="P75" i="1" s="1"/>
  <c r="H76" i="1"/>
  <c r="P76" i="1" s="1"/>
  <c r="H77" i="1"/>
  <c r="P77" i="1" s="1"/>
  <c r="H78" i="1"/>
  <c r="P78" i="1" s="1"/>
  <c r="H79" i="1"/>
  <c r="P79" i="1" s="1"/>
  <c r="H80" i="1"/>
  <c r="P80" i="1" s="1"/>
  <c r="H81" i="1"/>
  <c r="P81" i="1" s="1"/>
  <c r="H82" i="1"/>
  <c r="P82" i="1" s="1"/>
  <c r="H83" i="1"/>
  <c r="P83" i="1" s="1"/>
  <c r="H84" i="1"/>
  <c r="P84" i="1" s="1"/>
  <c r="H85" i="1"/>
  <c r="P85" i="1" s="1"/>
  <c r="H86" i="1"/>
  <c r="P86" i="1" s="1"/>
  <c r="H87" i="1"/>
  <c r="P87" i="1" s="1"/>
  <c r="H88" i="1"/>
  <c r="P88" i="1" s="1"/>
  <c r="H89" i="1"/>
  <c r="P89" i="1" s="1"/>
  <c r="H90" i="1"/>
  <c r="P90" i="1" s="1"/>
  <c r="H91" i="1"/>
  <c r="P91" i="1" s="1"/>
  <c r="H92" i="1"/>
  <c r="P92" i="1" s="1"/>
  <c r="H93" i="1"/>
  <c r="P93" i="1" s="1"/>
  <c r="H94" i="1"/>
  <c r="P94" i="1" s="1"/>
  <c r="H95" i="1"/>
  <c r="P95" i="1" s="1"/>
  <c r="H96" i="1"/>
  <c r="P96" i="1" s="1"/>
  <c r="H97" i="1"/>
  <c r="P97" i="1" s="1"/>
  <c r="H98" i="1"/>
  <c r="P98" i="1" s="1"/>
  <c r="H99" i="1"/>
  <c r="P99" i="1" s="1"/>
  <c r="H100" i="1"/>
  <c r="P100" i="1" s="1"/>
  <c r="H101" i="1"/>
  <c r="P101" i="1" s="1"/>
  <c r="H102" i="1"/>
  <c r="P102" i="1" s="1"/>
  <c r="H103" i="1"/>
  <c r="P103" i="1" s="1"/>
  <c r="H104" i="1"/>
  <c r="P104" i="1" s="1"/>
  <c r="H105" i="1"/>
  <c r="P105" i="1" s="1"/>
  <c r="H106" i="1"/>
  <c r="P106" i="1" s="1"/>
  <c r="H107" i="1"/>
  <c r="P107" i="1" s="1"/>
  <c r="H108" i="1"/>
  <c r="P108" i="1" s="1"/>
  <c r="H109" i="1"/>
  <c r="H110" i="1"/>
  <c r="H111" i="1"/>
  <c r="H112" i="1"/>
  <c r="H113" i="1"/>
  <c r="H114" i="1"/>
  <c r="H115" i="1"/>
  <c r="H116" i="1"/>
  <c r="H117" i="1"/>
  <c r="H118" i="1"/>
  <c r="H3" i="1"/>
  <c r="P3" i="1" s="1"/>
</calcChain>
</file>

<file path=xl/sharedStrings.xml><?xml version="1.0" encoding="utf-8"?>
<sst xmlns="http://schemas.openxmlformats.org/spreadsheetml/2006/main" count="316" uniqueCount="203">
  <si>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</si>
  <si>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</si>
  <si>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</si>
  <si>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</si>
  <si>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</si>
  <si>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</si>
  <si>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</si>
  <si>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</si>
  <si>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</si>
  <si>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</si>
  <si>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</si>
  <si>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</si>
  <si>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</si>
  <si>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</si>
  <si>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</si>
  <si>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</si>
  <si>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</si>
  <si>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</si>
  <si>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</si>
  <si>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Package_TO_SOT_SMD:TO-263-5_TabPin3</t>
  </si>
  <si>
    <t>5V 3A Step-Down Voltage Regulator, TO-263</t>
  </si>
  <si>
    <t xml:space="preserve">C1, 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</si>
  <si>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</si>
  <si>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</si>
  <si>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</si>
  <si>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</si>
  <si>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</si>
  <si>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</si>
  <si>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 xml:space="preserve">C2, 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</si>
  <si>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</si>
  <si>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</si>
  <si>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</si>
  <si>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</si>
  <si>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</si>
  <si>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</si>
  <si>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</si>
  <si>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</si>
  <si>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</si>
  <si>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</si>
  <si>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</si>
  <si>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</si>
  <si>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</si>
  <si>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</si>
  <si>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</si>
  <si>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</si>
  <si>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</si>
  <si>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</si>
  <si>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</si>
  <si>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Package_TO_SOT_SMD:SOT-143</t>
  </si>
  <si>
    <t>Ultra low capacitance double rail-to-rail ESD protection diode, SOT-143</t>
  </si>
  <si>
    <t xml:space="preserve">D6, </t>
  </si>
  <si>
    <t>12V Power</t>
  </si>
  <si>
    <t>LED</t>
  </si>
  <si>
    <t>Light emitting diode</t>
  </si>
  <si>
    <t xml:space="preserve">D7, </t>
  </si>
  <si>
    <t>3V3 Power</t>
  </si>
  <si>
    <t xml:space="preserve">D8, D9, </t>
  </si>
  <si>
    <t>Yellow</t>
  </si>
  <si>
    <t xml:space="preserve">EC1, EC2, EC3, EC4, EC5, EC6, EC7, EC8, </t>
  </si>
  <si>
    <t>Capacitor_SMD:CP_Elec_6.3x5.9</t>
  </si>
  <si>
    <t>Polarized capacitor</t>
  </si>
  <si>
    <t xml:space="preserve">EC9, EC10, EC11, </t>
  </si>
  <si>
    <t>100u</t>
  </si>
  <si>
    <t>Capacitor_SMD:CP_Elec_10x10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</si>
  <si>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</si>
  <si>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</si>
  <si>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</si>
  <si>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</si>
  <si>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</si>
  <si>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</si>
  <si>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</si>
  <si>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</si>
  <si>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Super_Prog_Header</t>
  </si>
  <si>
    <t>Conn_01x05_Male</t>
  </si>
  <si>
    <t>Connector_PinHeader_2.54mm:PinHeader_1x05_P2.54mm_Vertical</t>
  </si>
  <si>
    <t>Generic connector, single row, 01x05, script generated (kicad-library-utils/schlib/autogen/connector/)</t>
  </si>
  <si>
    <t>Conn_01x03_Male</t>
  </si>
  <si>
    <t>Connector_PinHeader_2.54mm:PinHeader_1x03_P2.54mm_Vertical</t>
  </si>
  <si>
    <t>Generic connector, single row, 01x03, script generated (kicad-library-utils/schlib/autogen/connector/)</t>
  </si>
  <si>
    <t xml:space="preserve">J3, </t>
  </si>
  <si>
    <t>XT60_connector_DC_60A_male</t>
  </si>
  <si>
    <t>Connector_AMASS:AMASS_XT60PW-M</t>
  </si>
  <si>
    <t>Generic connector, single row, 01x02, script generated (kicad-library-utils/schlib/autogen/connector/)</t>
  </si>
  <si>
    <t>Strip Lighting</t>
  </si>
  <si>
    <t>Connector_PinHeader_1.27mm:PinHeader_1x02_P1.27mm_Vertical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</si>
  <si>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</si>
  <si>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</si>
  <si>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</si>
  <si>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</si>
  <si>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</si>
  <si>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</si>
  <si>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</si>
  <si>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</si>
  <si>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</si>
  <si>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MotorController_PWR_IP</t>
  </si>
  <si>
    <t>TerminalBlock:TerminalBlock_Altech_AK300-2_P5.00mm</t>
  </si>
  <si>
    <t>Generic screw terminal, single row, 01x02, script generated (kicad-library-utils/schlib/autogen/connector/)</t>
  </si>
  <si>
    <t>MotorController_PWR_OP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</si>
  <si>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</si>
  <si>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</si>
  <si>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</si>
  <si>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>Stepper Motor Output</t>
  </si>
  <si>
    <t xml:space="preserve">J29, </t>
  </si>
  <si>
    <t>3V3 PWR SRC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</si>
  <si>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</si>
  <si>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</si>
  <si>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</si>
  <si>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</si>
  <si>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</si>
  <si>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</si>
  <si>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</si>
  <si>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</si>
  <si>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</si>
  <si>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</si>
  <si>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</si>
  <si>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</si>
  <si>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</si>
  <si>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</si>
  <si>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</si>
  <si>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</si>
  <si>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</si>
  <si>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</si>
  <si>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</si>
  <si>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</si>
  <si>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</si>
  <si>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</si>
  <si>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</si>
  <si>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</si>
  <si>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</si>
  <si>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</si>
  <si>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 xml:space="preserve">SW2, </t>
  </si>
  <si>
    <t>Student Reset</t>
  </si>
  <si>
    <t>pushbutton_tactile_2pin_SMD</t>
  </si>
  <si>
    <t>MEC 5E single pole normally-open tactile switch</t>
  </si>
  <si>
    <t xml:space="preserve">SW3, </t>
  </si>
  <si>
    <t>Supervisor Reset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</si>
  <si>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</si>
  <si>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</si>
  <si>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</si>
  <si>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</si>
  <si>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</si>
  <si>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</si>
  <si>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</si>
  <si>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</si>
  <si>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</si>
  <si>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</si>
  <si>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</si>
  <si>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</si>
  <si>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</si>
  <si>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</si>
  <si>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</si>
  <si>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</si>
  <si>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</si>
  <si>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</si>
  <si>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</si>
  <si>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</si>
  <si>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</si>
  <si>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</si>
  <si>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</si>
  <si>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 xml:space="preserve">U18, 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</si>
  <si>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</si>
  <si>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</si>
  <si>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</si>
  <si>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</si>
  <si>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</si>
  <si>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</si>
  <si>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</si>
  <si>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</si>
  <si>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</si>
  <si>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</si>
  <si>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</si>
  <si>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</si>
  <si>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</si>
  <si>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</si>
  <si>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</si>
  <si>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</si>
  <si>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</si>
  <si>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</si>
  <si>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</si>
  <si>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</si>
  <si>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</si>
  <si>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</si>
  <si>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</si>
  <si>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</si>
  <si>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</si>
  <si>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</si>
  <si>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</si>
  <si>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</si>
  <si>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</si>
  <si>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</si>
  <si>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</si>
  <si>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</si>
  <si>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</si>
  <si>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</si>
  <si>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</si>
  <si>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</si>
  <si>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</si>
  <si>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</si>
  <si>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</si>
  <si>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</si>
  <si>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</si>
  <si>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</si>
  <si>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WS2821B &amp; servo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</si>
</sst>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11" xfId="0" applyBorder="1"/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16" fillId="0" borderId="0" xfId="0" applyFont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0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8"/>
  <sheetViews>
    <sheetView tabSelected="1" workbookViewId="0">
      <pane ySplit="1" topLeftCell="A77" activePane="bottomLeft" state="frozen"/>
      <selection pane="bottomLeft" activeCell="C101" sqref="C101"/>
    </sheetView>
  </sheetViews>
  <sheetFormatPr defaultRowHeight="15" x14ac:dyDescent="0.25"/>
  <cols>
    <col min="1" max="1" width="22.5703125" style="2" customWidth="1"/>
    <col min="2" max="2" width="23.5703125" style="4" customWidth="1"/>
    <col min="3" max="3" width="13.28515625" customWidth="1"/>
    <col min="4" max="4" width="14.28515625" customWidth="1"/>
    <col min="5" max="5" width="15" customWidth="1"/>
    <col min="6" max="6" width="20.85546875" customWidth="1"/>
    <col min="7" max="7" width="20.7109375" style="4" customWidth="1"/>
    <col min="8" max="8" width="13.7109375" style="4" bestFit="1" customWidth="1"/>
    <col min="9" max="9" width="9.7109375" style="4" bestFit="1" customWidth="1"/>
    <col min="10" max="10" width="11.140625" style="4" bestFit="1" customWidth="1"/>
    <col min="11" max="11" width="9.7109375" customWidth="1"/>
    <col min="12" max="12" width="9.7109375" style="6" customWidth="1"/>
    <col min="13" max="13" width="9.140625" style="6"/>
    <col min="14" max="14" width="19" style="6" bestFit="1" customWidth="1"/>
    <col min="16" max="16" width="15.140625" bestFit="1" customWidth="1"/>
  </cols>
  <sheetData>
    <row r="1" spans="1:19" s="1" customFormat="1" ht="15.75" thickBot="1" x14ac:dyDescent="0.3">
      <c r="A1" s="3" t="s">
        <v>0</v>
      </c>
      <c r="B1" s="5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5" t="s">
        <v>6</v>
      </c>
      <c r="H1" s="5" t="s">
        <v>177</v>
      </c>
      <c r="I1" s="5" t="s">
        <v>186</v>
      </c>
      <c r="J1" s="5" t="s">
        <v>184</v>
      </c>
      <c r="L1" s="7" t="s">
        <v>182</v>
      </c>
      <c r="M1" s="7" t="s">
        <v>175</v>
      </c>
      <c r="N1" s="7" t="s">
        <v>180</v>
      </c>
      <c r="P1" s="1" t="s">
        <v>187</v>
      </c>
      <c r="S1" s="1" t="s">
        <v>176</v>
      </c>
    </row>
    <row r="3" spans="1:19" x14ac:dyDescent="0.25">
      <c r="A3" s="2" t="s">
        <v>7</v>
      </c>
      <c r="B3" s="4">
        <v>2</v>
      </c>
      <c r="C3" t="s">
        <v>8</v>
      </c>
      <c r="D3" t="s">
        <v>8</v>
      </c>
      <c r="E3" t="s">
        <v>9</v>
      </c>
      <c r="F3" t="s">
        <v>10</v>
      </c>
      <c r="G3" s="4" t="s">
        <v>178</v>
      </c>
      <c r="H3" s="4">
        <f>B3*S3</f>
        <v>160</v>
      </c>
      <c r="I3" s="4">
        <v>160</v>
      </c>
      <c r="J3" s="4">
        <v>31244</v>
      </c>
      <c r="L3" s="6" t="s">
        <v>179</v>
      </c>
      <c r="M3" s="6" t="s">
        <v>179</v>
      </c>
      <c r="N3" s="6" t="s">
        <v>179</v>
      </c>
      <c r="P3">
        <f>I3-H3</f>
        <v>0</v>
      </c>
      <c r="S3">
        <v>80</v>
      </c>
    </row>
    <row r="4" spans="1:19" x14ac:dyDescent="0.25">
      <c r="H4" s="4">
        <f t="shared" ref="H4:H46" si="0">B4*S4</f>
        <v>0</v>
      </c>
      <c r="P4">
        <f t="shared" ref="P4:P46" si="1">I4-H4</f>
        <v>0</v>
      </c>
      <c r="S4">
        <v>80</v>
      </c>
    </row>
    <row r="5" spans="1:19" x14ac:dyDescent="0.25">
      <c r="A5" s="2" t="s">
        <v>11</v>
      </c>
      <c r="B5" s="4">
        <v>1</v>
      </c>
      <c r="C5" t="s">
        <v>12</v>
      </c>
      <c r="D5" t="s">
        <v>12</v>
      </c>
      <c r="E5" t="s">
        <v>13</v>
      </c>
      <c r="F5" t="s">
        <v>14</v>
      </c>
      <c r="G5" s="4" t="s">
        <v>178</v>
      </c>
      <c r="H5" s="4">
        <f t="shared" si="0"/>
        <v>80</v>
      </c>
      <c r="I5" s="4">
        <v>80</v>
      </c>
      <c r="J5" s="4">
        <v>31244</v>
      </c>
      <c r="L5" s="6" t="s">
        <v>179</v>
      </c>
      <c r="M5" s="6" t="s">
        <v>179</v>
      </c>
      <c r="N5" s="8">
        <v>44705</v>
      </c>
      <c r="P5">
        <f t="shared" si="1"/>
        <v>0</v>
      </c>
      <c r="S5">
        <v>80</v>
      </c>
    </row>
    <row r="6" spans="1:19" x14ac:dyDescent="0.25">
      <c r="H6" s="4">
        <f t="shared" si="0"/>
        <v>0</v>
      </c>
      <c r="P6">
        <f t="shared" si="1"/>
        <v>0</v>
      </c>
      <c r="S6">
        <v>80</v>
      </c>
    </row>
    <row r="7" spans="1:19" x14ac:dyDescent="0.25">
      <c r="A7" s="2" t="s">
        <v>15</v>
      </c>
      <c r="B7" s="4">
        <v>1</v>
      </c>
      <c r="C7" t="s">
        <v>16</v>
      </c>
      <c r="D7" t="s">
        <v>16</v>
      </c>
      <c r="E7" t="s">
        <v>13</v>
      </c>
      <c r="F7" t="s">
        <v>16</v>
      </c>
      <c r="G7" s="4" t="s">
        <v>181</v>
      </c>
      <c r="H7" s="4">
        <f t="shared" si="0"/>
        <v>80</v>
      </c>
      <c r="I7" s="4">
        <v>80</v>
      </c>
      <c r="J7" s="4">
        <v>31338</v>
      </c>
      <c r="L7" s="6" t="s">
        <v>179</v>
      </c>
      <c r="M7" s="6" t="s">
        <v>183</v>
      </c>
      <c r="P7">
        <f t="shared" si="1"/>
        <v>0</v>
      </c>
      <c r="S7">
        <v>80</v>
      </c>
    </row>
    <row r="8" spans="1:19" x14ac:dyDescent="0.25">
      <c r="H8" s="4">
        <f t="shared" si="0"/>
        <v>0</v>
      </c>
      <c r="P8">
        <f t="shared" si="1"/>
        <v>0</v>
      </c>
      <c r="S8">
        <v>80</v>
      </c>
    </row>
    <row r="9" spans="1:19" x14ac:dyDescent="0.25">
      <c r="A9" s="2" t="s">
        <v>17</v>
      </c>
      <c r="B9" s="4">
        <v>1</v>
      </c>
      <c r="C9" t="s">
        <v>18</v>
      </c>
      <c r="D9" t="s">
        <v>18</v>
      </c>
      <c r="E9" t="s">
        <v>19</v>
      </c>
      <c r="F9" t="s">
        <v>20</v>
      </c>
      <c r="G9" s="4" t="s">
        <v>181</v>
      </c>
      <c r="H9" s="4">
        <f t="shared" si="0"/>
        <v>80</v>
      </c>
      <c r="I9" s="4">
        <v>80</v>
      </c>
      <c r="J9" s="4">
        <v>31338</v>
      </c>
      <c r="L9" s="6" t="s">
        <v>179</v>
      </c>
      <c r="M9" s="6" t="s">
        <v>183</v>
      </c>
      <c r="P9">
        <f t="shared" si="1"/>
        <v>0</v>
      </c>
      <c r="S9">
        <v>80</v>
      </c>
    </row>
    <row r="10" spans="1:19" x14ac:dyDescent="0.25">
      <c r="H10" s="4">
        <f t="shared" si="0"/>
        <v>0</v>
      </c>
      <c r="P10">
        <f t="shared" si="1"/>
        <v>0</v>
      </c>
      <c r="S10">
        <v>80</v>
      </c>
    </row>
    <row r="11" spans="1:19" x14ac:dyDescent="0.25">
      <c r="A11" s="2" t="s">
        <v>21</v>
      </c>
      <c r="B11" s="4">
        <v>1</v>
      </c>
      <c r="C11" t="s">
        <v>22</v>
      </c>
      <c r="D11" t="s">
        <v>23</v>
      </c>
      <c r="E11" t="s">
        <v>24</v>
      </c>
      <c r="F11" t="s">
        <v>25</v>
      </c>
      <c r="G11" s="4" t="s">
        <v>185</v>
      </c>
      <c r="H11" s="4">
        <f t="shared" si="0"/>
        <v>80</v>
      </c>
      <c r="I11" s="4">
        <v>85</v>
      </c>
      <c r="J11" s="4">
        <v>31340</v>
      </c>
      <c r="L11" s="6" t="s">
        <v>179</v>
      </c>
      <c r="M11" s="6" t="s">
        <v>183</v>
      </c>
      <c r="P11">
        <f t="shared" si="1"/>
        <v>5</v>
      </c>
      <c r="S11">
        <v>80</v>
      </c>
    </row>
    <row r="12" spans="1:19" x14ac:dyDescent="0.25">
      <c r="H12" s="4">
        <f t="shared" si="0"/>
        <v>0</v>
      </c>
      <c r="P12">
        <f t="shared" si="1"/>
        <v>0</v>
      </c>
      <c r="S12">
        <v>80</v>
      </c>
    </row>
    <row r="13" spans="1:19" x14ac:dyDescent="0.25">
      <c r="A13" s="2" t="s">
        <v>188</v>
      </c>
      <c r="B13" s="4">
        <v>2</v>
      </c>
      <c r="C13" t="s">
        <v>26</v>
      </c>
      <c r="D13" t="s">
        <v>23</v>
      </c>
      <c r="E13" t="s">
        <v>24</v>
      </c>
      <c r="F13" t="s">
        <v>25</v>
      </c>
      <c r="G13" s="4" t="s">
        <v>185</v>
      </c>
      <c r="H13" s="4">
        <f t="shared" si="0"/>
        <v>160</v>
      </c>
      <c r="I13" s="4">
        <v>170</v>
      </c>
      <c r="J13" s="4">
        <v>31258</v>
      </c>
      <c r="L13" s="6" t="s">
        <v>179</v>
      </c>
      <c r="M13" s="6" t="s">
        <v>183</v>
      </c>
      <c r="P13">
        <f t="shared" si="1"/>
        <v>10</v>
      </c>
      <c r="S13">
        <v>80</v>
      </c>
    </row>
    <row r="14" spans="1:19" x14ac:dyDescent="0.25">
      <c r="H14" s="4">
        <f t="shared" si="0"/>
        <v>0</v>
      </c>
      <c r="P14">
        <f t="shared" si="1"/>
        <v>0</v>
      </c>
      <c r="S14">
        <v>80</v>
      </c>
    </row>
    <row r="15" spans="1:19" x14ac:dyDescent="0.25">
      <c r="A15" s="2" t="s">
        <v>28</v>
      </c>
      <c r="B15" s="4">
        <v>1</v>
      </c>
      <c r="C15" t="s">
        <v>29</v>
      </c>
      <c r="D15" t="s">
        <v>23</v>
      </c>
      <c r="E15" t="s">
        <v>24</v>
      </c>
      <c r="F15" t="s">
        <v>25</v>
      </c>
      <c r="G15" s="4" t="s">
        <v>185</v>
      </c>
      <c r="H15" s="4">
        <f t="shared" si="0"/>
        <v>80</v>
      </c>
      <c r="I15" s="4">
        <v>85</v>
      </c>
      <c r="J15" s="4">
        <v>31340</v>
      </c>
      <c r="L15" s="6" t="s">
        <v>179</v>
      </c>
      <c r="M15" s="6" t="s">
        <v>183</v>
      </c>
      <c r="P15">
        <f t="shared" si="1"/>
        <v>5</v>
      </c>
      <c r="S15">
        <v>80</v>
      </c>
    </row>
    <row r="16" spans="1:19" x14ac:dyDescent="0.25">
      <c r="H16" s="4">
        <f t="shared" si="0"/>
        <v>0</v>
      </c>
      <c r="P16">
        <f t="shared" si="1"/>
        <v>0</v>
      </c>
      <c r="S16">
        <v>80</v>
      </c>
    </row>
    <row r="17" spans="1:19" x14ac:dyDescent="0.25">
      <c r="A17" s="2" t="s">
        <v>30</v>
      </c>
      <c r="B17" s="4">
        <v>2</v>
      </c>
      <c r="C17" t="s">
        <v>31</v>
      </c>
      <c r="D17" t="s">
        <v>23</v>
      </c>
      <c r="E17" t="s">
        <v>24</v>
      </c>
      <c r="F17" t="s">
        <v>25</v>
      </c>
      <c r="G17" s="4" t="s">
        <v>185</v>
      </c>
      <c r="H17" s="4">
        <f t="shared" si="0"/>
        <v>160</v>
      </c>
      <c r="I17" s="4">
        <v>170</v>
      </c>
      <c r="J17" s="4">
        <v>31258</v>
      </c>
      <c r="L17" s="6" t="s">
        <v>179</v>
      </c>
      <c r="M17" s="6" t="s">
        <v>183</v>
      </c>
      <c r="P17">
        <f t="shared" si="1"/>
        <v>10</v>
      </c>
      <c r="S17">
        <v>80</v>
      </c>
    </row>
    <row r="18" spans="1:19" x14ac:dyDescent="0.25">
      <c r="H18" s="4">
        <f t="shared" si="0"/>
        <v>0</v>
      </c>
      <c r="P18">
        <f t="shared" si="1"/>
        <v>0</v>
      </c>
      <c r="S18">
        <v>80</v>
      </c>
    </row>
    <row r="19" spans="1:19" x14ac:dyDescent="0.25">
      <c r="A19" s="2" t="s">
        <v>32</v>
      </c>
      <c r="B19" s="4">
        <v>4</v>
      </c>
      <c r="C19" t="s">
        <v>33</v>
      </c>
      <c r="D19" t="s">
        <v>34</v>
      </c>
      <c r="E19" t="s">
        <v>24</v>
      </c>
      <c r="F19" t="s">
        <v>25</v>
      </c>
      <c r="G19" s="4" t="s">
        <v>185</v>
      </c>
      <c r="H19" s="4">
        <f t="shared" si="0"/>
        <v>320</v>
      </c>
      <c r="I19" s="4">
        <v>340</v>
      </c>
      <c r="J19" s="4">
        <v>31258</v>
      </c>
      <c r="L19" s="6" t="s">
        <v>179</v>
      </c>
      <c r="M19" s="6" t="s">
        <v>183</v>
      </c>
      <c r="P19">
        <f t="shared" si="1"/>
        <v>20</v>
      </c>
      <c r="S19">
        <v>80</v>
      </c>
    </row>
    <row r="20" spans="1:19" x14ac:dyDescent="0.25">
      <c r="H20" s="4">
        <f t="shared" si="0"/>
        <v>0</v>
      </c>
      <c r="P20">
        <f t="shared" si="1"/>
        <v>0</v>
      </c>
      <c r="S20">
        <v>80</v>
      </c>
    </row>
    <row r="21" spans="1:19" x14ac:dyDescent="0.25">
      <c r="A21" s="2" t="s">
        <v>35</v>
      </c>
      <c r="B21" s="4">
        <v>2</v>
      </c>
      <c r="C21" t="s">
        <v>36</v>
      </c>
      <c r="D21" t="s">
        <v>23</v>
      </c>
      <c r="E21" t="s">
        <v>24</v>
      </c>
      <c r="F21" t="s">
        <v>25</v>
      </c>
      <c r="G21" s="4" t="s">
        <v>185</v>
      </c>
      <c r="H21" s="4">
        <f t="shared" si="0"/>
        <v>160</v>
      </c>
      <c r="I21" s="4">
        <v>174</v>
      </c>
      <c r="J21" s="4">
        <v>31258</v>
      </c>
      <c r="L21" s="6" t="s">
        <v>179</v>
      </c>
      <c r="M21" s="6" t="s">
        <v>183</v>
      </c>
      <c r="P21">
        <f t="shared" si="1"/>
        <v>14</v>
      </c>
      <c r="S21">
        <v>80</v>
      </c>
    </row>
    <row r="22" spans="1:19" x14ac:dyDescent="0.25">
      <c r="H22" s="4">
        <f t="shared" si="0"/>
        <v>0</v>
      </c>
      <c r="P22">
        <f t="shared" si="1"/>
        <v>0</v>
      </c>
      <c r="S22">
        <v>80</v>
      </c>
    </row>
    <row r="23" spans="1:19" ht="90" x14ac:dyDescent="0.25">
      <c r="A23" s="2" t="s">
        <v>189</v>
      </c>
      <c r="B23" s="4">
        <v>28</v>
      </c>
      <c r="C23" t="s">
        <v>27</v>
      </c>
      <c r="D23" t="s">
        <v>23</v>
      </c>
      <c r="E23" t="s">
        <v>24</v>
      </c>
      <c r="F23" t="s">
        <v>25</v>
      </c>
      <c r="H23" s="4">
        <f t="shared" si="0"/>
        <v>2240</v>
      </c>
      <c r="I23" s="4">
        <v>2400</v>
      </c>
      <c r="J23" s="4">
        <v>31258</v>
      </c>
      <c r="L23" s="6" t="s">
        <v>179</v>
      </c>
      <c r="M23" s="6" t="s">
        <v>183</v>
      </c>
      <c r="P23">
        <f t="shared" si="1"/>
        <v>160</v>
      </c>
      <c r="S23">
        <v>80</v>
      </c>
    </row>
    <row r="24" spans="1:19" x14ac:dyDescent="0.25">
      <c r="H24" s="4">
        <f t="shared" si="0"/>
        <v>0</v>
      </c>
      <c r="P24">
        <f t="shared" si="1"/>
        <v>0</v>
      </c>
      <c r="S24">
        <v>80</v>
      </c>
    </row>
    <row r="25" spans="1:19" x14ac:dyDescent="0.25">
      <c r="A25" s="2" t="s">
        <v>37</v>
      </c>
      <c r="B25" s="4">
        <v>1</v>
      </c>
      <c r="C25" t="s">
        <v>38</v>
      </c>
      <c r="D25" t="s">
        <v>38</v>
      </c>
      <c r="E25" t="s">
        <v>39</v>
      </c>
      <c r="F25" t="s">
        <v>40</v>
      </c>
      <c r="H25" s="4">
        <f t="shared" si="0"/>
        <v>80</v>
      </c>
      <c r="I25" s="4">
        <v>90</v>
      </c>
      <c r="J25" s="4">
        <v>31258</v>
      </c>
      <c r="L25" s="6" t="s">
        <v>179</v>
      </c>
      <c r="M25" s="6" t="s">
        <v>183</v>
      </c>
      <c r="P25">
        <f t="shared" si="1"/>
        <v>10</v>
      </c>
      <c r="S25">
        <v>80</v>
      </c>
    </row>
    <row r="26" spans="1:19" x14ac:dyDescent="0.25">
      <c r="H26" s="4">
        <f t="shared" si="0"/>
        <v>0</v>
      </c>
      <c r="P26">
        <f t="shared" si="1"/>
        <v>0</v>
      </c>
      <c r="S26">
        <v>80</v>
      </c>
    </row>
    <row r="27" spans="1:19" x14ac:dyDescent="0.25">
      <c r="A27" s="2" t="s">
        <v>41</v>
      </c>
      <c r="B27" s="4">
        <v>2</v>
      </c>
      <c r="C27" t="s">
        <v>42</v>
      </c>
      <c r="D27" t="s">
        <v>42</v>
      </c>
      <c r="E27" t="s">
        <v>43</v>
      </c>
      <c r="F27" t="s">
        <v>44</v>
      </c>
      <c r="H27" s="4">
        <f t="shared" si="0"/>
        <v>160</v>
      </c>
      <c r="L27" s="6" t="s">
        <v>183</v>
      </c>
      <c r="P27">
        <f t="shared" si="1"/>
        <v>-160</v>
      </c>
      <c r="S27">
        <v>80</v>
      </c>
    </row>
    <row r="28" spans="1:19" x14ac:dyDescent="0.25">
      <c r="H28" s="4">
        <f t="shared" si="0"/>
        <v>0</v>
      </c>
      <c r="P28">
        <f t="shared" si="1"/>
        <v>0</v>
      </c>
      <c r="S28">
        <v>80</v>
      </c>
    </row>
    <row r="29" spans="1:19" x14ac:dyDescent="0.25">
      <c r="A29" s="2" t="s">
        <v>45</v>
      </c>
      <c r="B29" s="4">
        <v>2</v>
      </c>
      <c r="C29" t="s">
        <v>46</v>
      </c>
      <c r="D29" t="s">
        <v>47</v>
      </c>
      <c r="E29" t="s">
        <v>48</v>
      </c>
      <c r="F29" t="s">
        <v>49</v>
      </c>
      <c r="H29" s="4">
        <f t="shared" si="0"/>
        <v>160</v>
      </c>
      <c r="I29" s="4">
        <v>170</v>
      </c>
      <c r="J29" s="4">
        <v>31258</v>
      </c>
      <c r="L29" s="6" t="s">
        <v>179</v>
      </c>
      <c r="M29" s="6" t="s">
        <v>183</v>
      </c>
      <c r="P29">
        <f t="shared" si="1"/>
        <v>10</v>
      </c>
      <c r="S29">
        <v>80</v>
      </c>
    </row>
    <row r="30" spans="1:19" x14ac:dyDescent="0.25">
      <c r="H30" s="4">
        <f t="shared" si="0"/>
        <v>0</v>
      </c>
      <c r="P30">
        <f t="shared" si="1"/>
        <v>0</v>
      </c>
      <c r="S30">
        <v>80</v>
      </c>
    </row>
    <row r="31" spans="1:19" x14ac:dyDescent="0.25">
      <c r="A31" s="2" t="s">
        <v>50</v>
      </c>
      <c r="B31" s="4">
        <v>1</v>
      </c>
      <c r="C31" t="s">
        <v>51</v>
      </c>
      <c r="D31" t="s">
        <v>190</v>
      </c>
      <c r="F31" t="s">
        <v>53</v>
      </c>
      <c r="H31" s="4">
        <f t="shared" si="0"/>
        <v>80</v>
      </c>
      <c r="I31" s="4">
        <v>260</v>
      </c>
      <c r="J31" s="4">
        <v>31258</v>
      </c>
      <c r="L31" s="6" t="s">
        <v>179</v>
      </c>
      <c r="M31" s="6" t="s">
        <v>183</v>
      </c>
      <c r="P31">
        <f t="shared" si="1"/>
        <v>180</v>
      </c>
      <c r="S31">
        <v>80</v>
      </c>
    </row>
    <row r="32" spans="1:19" x14ac:dyDescent="0.25">
      <c r="H32" s="4">
        <f t="shared" si="0"/>
        <v>0</v>
      </c>
      <c r="P32">
        <f t="shared" si="1"/>
        <v>0</v>
      </c>
      <c r="S32">
        <v>80</v>
      </c>
    </row>
    <row r="33" spans="1:19" x14ac:dyDescent="0.25">
      <c r="A33" s="2" t="s">
        <v>54</v>
      </c>
      <c r="B33" s="4">
        <v>1</v>
      </c>
      <c r="C33" t="s">
        <v>55</v>
      </c>
      <c r="D33" t="s">
        <v>191</v>
      </c>
      <c r="F33" t="s">
        <v>53</v>
      </c>
      <c r="H33" s="4">
        <f t="shared" si="0"/>
        <v>80</v>
      </c>
      <c r="I33" s="4">
        <v>100</v>
      </c>
      <c r="J33" s="4">
        <v>31258</v>
      </c>
      <c r="L33" s="6" t="s">
        <v>179</v>
      </c>
      <c r="M33" s="6" t="s">
        <v>183</v>
      </c>
      <c r="P33">
        <f t="shared" si="1"/>
        <v>20</v>
      </c>
      <c r="S33">
        <v>80</v>
      </c>
    </row>
    <row r="34" spans="1:19" x14ac:dyDescent="0.25">
      <c r="H34" s="4">
        <f t="shared" si="0"/>
        <v>0</v>
      </c>
      <c r="P34">
        <f t="shared" si="1"/>
        <v>0</v>
      </c>
      <c r="S34">
        <v>80</v>
      </c>
    </row>
    <row r="35" spans="1:19" x14ac:dyDescent="0.25">
      <c r="A35" s="2" t="s">
        <v>56</v>
      </c>
      <c r="B35" s="4">
        <v>2</v>
      </c>
      <c r="C35" t="s">
        <v>57</v>
      </c>
      <c r="D35" t="s">
        <v>52</v>
      </c>
      <c r="F35" t="s">
        <v>53</v>
      </c>
      <c r="H35" s="4">
        <f t="shared" si="0"/>
        <v>160</v>
      </c>
      <c r="L35" s="6" t="s">
        <v>183</v>
      </c>
      <c r="P35">
        <f t="shared" si="1"/>
        <v>-160</v>
      </c>
      <c r="S35">
        <v>80</v>
      </c>
    </row>
    <row r="36" spans="1:19" x14ac:dyDescent="0.25">
      <c r="H36" s="4">
        <f t="shared" si="0"/>
        <v>0</v>
      </c>
      <c r="P36">
        <f t="shared" si="1"/>
        <v>0</v>
      </c>
      <c r="S36">
        <v>80</v>
      </c>
    </row>
    <row r="37" spans="1:19" ht="30" x14ac:dyDescent="0.25">
      <c r="A37" s="2" t="s">
        <v>58</v>
      </c>
      <c r="B37" s="4">
        <v>8</v>
      </c>
      <c r="C37" t="s">
        <v>22</v>
      </c>
      <c r="E37" t="s">
        <v>59</v>
      </c>
      <c r="F37" t="s">
        <v>60</v>
      </c>
      <c r="G37" s="4" t="s">
        <v>185</v>
      </c>
      <c r="H37" s="4">
        <f t="shared" si="0"/>
        <v>640</v>
      </c>
      <c r="I37" s="4">
        <v>670</v>
      </c>
      <c r="J37" s="4">
        <v>31258</v>
      </c>
      <c r="L37" s="6" t="s">
        <v>179</v>
      </c>
      <c r="M37" s="6" t="s">
        <v>183</v>
      </c>
      <c r="P37">
        <f t="shared" si="1"/>
        <v>30</v>
      </c>
      <c r="S37">
        <v>80</v>
      </c>
    </row>
    <row r="38" spans="1:19" x14ac:dyDescent="0.25">
      <c r="H38" s="4">
        <f t="shared" si="0"/>
        <v>0</v>
      </c>
      <c r="P38">
        <f t="shared" si="1"/>
        <v>0</v>
      </c>
      <c r="S38">
        <v>80</v>
      </c>
    </row>
    <row r="39" spans="1:19" x14ac:dyDescent="0.25">
      <c r="A39" s="2" t="s">
        <v>61</v>
      </c>
      <c r="B39" s="4">
        <v>3</v>
      </c>
      <c r="C39" t="s">
        <v>62</v>
      </c>
      <c r="D39" t="s">
        <v>62</v>
      </c>
      <c r="E39" t="s">
        <v>63</v>
      </c>
      <c r="F39" t="s">
        <v>60</v>
      </c>
      <c r="G39" s="4" t="s">
        <v>185</v>
      </c>
      <c r="H39" s="4">
        <f t="shared" si="0"/>
        <v>240</v>
      </c>
      <c r="I39" s="4">
        <v>252</v>
      </c>
      <c r="J39" s="4">
        <v>31258</v>
      </c>
      <c r="L39" s="6" t="s">
        <v>179</v>
      </c>
      <c r="M39" s="6" t="s">
        <v>183</v>
      </c>
      <c r="P39">
        <f t="shared" si="1"/>
        <v>12</v>
      </c>
      <c r="S39">
        <v>80</v>
      </c>
    </row>
    <row r="40" spans="1:19" x14ac:dyDescent="0.25">
      <c r="H40" s="4">
        <f t="shared" si="0"/>
        <v>0</v>
      </c>
      <c r="P40">
        <f t="shared" si="1"/>
        <v>0</v>
      </c>
      <c r="S40">
        <v>80</v>
      </c>
    </row>
    <row r="41" spans="1:19" x14ac:dyDescent="0.25">
      <c r="A41" s="2" t="s">
        <v>192</v>
      </c>
      <c r="B41" s="4">
        <v>2</v>
      </c>
      <c r="C41" t="s">
        <v>64</v>
      </c>
      <c r="D41" t="s">
        <v>65</v>
      </c>
      <c r="E41" t="s">
        <v>66</v>
      </c>
      <c r="F41" t="s">
        <v>65</v>
      </c>
      <c r="H41" s="4">
        <f t="shared" si="0"/>
        <v>160</v>
      </c>
      <c r="I41" s="4">
        <v>168</v>
      </c>
      <c r="J41" s="4">
        <v>31258</v>
      </c>
      <c r="L41" s="6" t="s">
        <v>179</v>
      </c>
      <c r="M41" s="6" t="s">
        <v>183</v>
      </c>
      <c r="P41">
        <f t="shared" si="1"/>
        <v>8</v>
      </c>
      <c r="S41">
        <v>80</v>
      </c>
    </row>
    <row r="42" spans="1:19" x14ac:dyDescent="0.25">
      <c r="H42" s="4">
        <f t="shared" si="0"/>
        <v>0</v>
      </c>
      <c r="P42">
        <f t="shared" si="1"/>
        <v>0</v>
      </c>
      <c r="S42">
        <v>80</v>
      </c>
    </row>
    <row r="43" spans="1:19" x14ac:dyDescent="0.25">
      <c r="A43" s="2" t="s">
        <v>67</v>
      </c>
      <c r="B43" s="4">
        <v>2</v>
      </c>
      <c r="C43" t="s">
        <v>68</v>
      </c>
      <c r="D43" t="s">
        <v>69</v>
      </c>
      <c r="E43" t="s">
        <v>70</v>
      </c>
      <c r="F43" t="s">
        <v>71</v>
      </c>
      <c r="H43" s="4">
        <f t="shared" si="0"/>
        <v>160</v>
      </c>
      <c r="I43" s="4">
        <v>200</v>
      </c>
      <c r="J43" s="4">
        <v>31244</v>
      </c>
      <c r="L43" s="6" t="s">
        <v>179</v>
      </c>
      <c r="P43">
        <f t="shared" si="1"/>
        <v>40</v>
      </c>
      <c r="S43">
        <v>80</v>
      </c>
    </row>
    <row r="45" spans="1:19" x14ac:dyDescent="0.25">
      <c r="A45" s="9" t="s">
        <v>194</v>
      </c>
      <c r="H45" s="4">
        <f t="shared" si="0"/>
        <v>0</v>
      </c>
      <c r="P45">
        <f t="shared" si="1"/>
        <v>0</v>
      </c>
      <c r="S45">
        <v>80</v>
      </c>
    </row>
    <row r="46" spans="1:19" x14ac:dyDescent="0.25">
      <c r="A46" s="2" t="s">
        <v>195</v>
      </c>
      <c r="B46" s="4">
        <v>3</v>
      </c>
      <c r="C46" t="s">
        <v>72</v>
      </c>
      <c r="D46" t="s">
        <v>73</v>
      </c>
      <c r="E46" t="s">
        <v>74</v>
      </c>
      <c r="F46" t="s">
        <v>75</v>
      </c>
      <c r="H46" s="4">
        <f t="shared" si="0"/>
        <v>240</v>
      </c>
      <c r="P46">
        <f t="shared" si="1"/>
        <v>-240</v>
      </c>
      <c r="S46">
        <v>80</v>
      </c>
    </row>
    <row r="47" spans="1:19" x14ac:dyDescent="0.25">
      <c r="A47" s="2" t="s">
        <v>102</v>
      </c>
      <c r="B47" s="4">
        <v>1</v>
      </c>
      <c r="C47" t="s">
        <v>103</v>
      </c>
      <c r="D47" t="s">
        <v>76</v>
      </c>
      <c r="E47" t="s">
        <v>77</v>
      </c>
      <c r="F47" t="s">
        <v>78</v>
      </c>
      <c r="H47" s="4">
        <f>B47*S47</f>
        <v>80</v>
      </c>
      <c r="P47">
        <f>I47-H47</f>
        <v>-80</v>
      </c>
      <c r="S47">
        <v>80</v>
      </c>
    </row>
    <row r="48" spans="1:19" x14ac:dyDescent="0.25">
      <c r="A48" s="2" t="s">
        <v>196</v>
      </c>
      <c r="B48" s="4">
        <v>6</v>
      </c>
    </row>
    <row r="49" spans="1:19" x14ac:dyDescent="0.25">
      <c r="A49" s="2" t="s">
        <v>197</v>
      </c>
      <c r="B49" s="4">
        <v>6</v>
      </c>
    </row>
    <row r="50" spans="1:19" x14ac:dyDescent="0.25">
      <c r="H50" s="4">
        <f t="shared" ref="H50:H74" si="2">B50*S50</f>
        <v>0</v>
      </c>
      <c r="P50">
        <f t="shared" ref="P50:P74" si="3">I50-H50</f>
        <v>0</v>
      </c>
      <c r="S50">
        <v>80</v>
      </c>
    </row>
    <row r="51" spans="1:19" x14ac:dyDescent="0.25">
      <c r="H51" s="4">
        <f t="shared" si="2"/>
        <v>0</v>
      </c>
      <c r="P51">
        <f t="shared" si="3"/>
        <v>0</v>
      </c>
      <c r="S51">
        <v>80</v>
      </c>
    </row>
    <row r="52" spans="1:19" x14ac:dyDescent="0.25">
      <c r="A52" s="9" t="s">
        <v>193</v>
      </c>
      <c r="H52" s="4">
        <f t="shared" si="2"/>
        <v>0</v>
      </c>
      <c r="P52">
        <f t="shared" si="3"/>
        <v>0</v>
      </c>
      <c r="S52">
        <v>80</v>
      </c>
    </row>
    <row r="53" spans="1:19" x14ac:dyDescent="0.25">
      <c r="A53" s="2" t="s">
        <v>79</v>
      </c>
      <c r="B53" s="4">
        <v>1</v>
      </c>
      <c r="C53" t="s">
        <v>80</v>
      </c>
      <c r="D53" t="s">
        <v>80</v>
      </c>
      <c r="E53" t="s">
        <v>81</v>
      </c>
      <c r="F53" t="s">
        <v>82</v>
      </c>
      <c r="H53" s="4">
        <f>B53*S53</f>
        <v>80</v>
      </c>
      <c r="P53">
        <f>I53-H53</f>
        <v>-80</v>
      </c>
      <c r="S53">
        <v>80</v>
      </c>
    </row>
    <row r="54" spans="1:19" x14ac:dyDescent="0.25">
      <c r="A54" s="2" t="s">
        <v>85</v>
      </c>
      <c r="B54" s="4">
        <v>1</v>
      </c>
      <c r="C54" t="s">
        <v>86</v>
      </c>
      <c r="D54" s="10">
        <v>2784974</v>
      </c>
      <c r="F54" t="s">
        <v>87</v>
      </c>
      <c r="H54" s="4">
        <f>B54*S54</f>
        <v>80</v>
      </c>
      <c r="P54">
        <f>I54-H54</f>
        <v>-80</v>
      </c>
      <c r="S54">
        <v>80</v>
      </c>
    </row>
    <row r="55" spans="1:19" x14ac:dyDescent="0.25">
      <c r="A55" s="2" t="s">
        <v>88</v>
      </c>
      <c r="B55" s="4">
        <v>2</v>
      </c>
      <c r="C55" t="s">
        <v>89</v>
      </c>
      <c r="D55" s="10">
        <v>2293774</v>
      </c>
      <c r="E55" t="s">
        <v>90</v>
      </c>
      <c r="F55" t="s">
        <v>91</v>
      </c>
      <c r="H55" s="4">
        <f>B55*S55</f>
        <v>160</v>
      </c>
      <c r="P55">
        <f>I55-H55</f>
        <v>-160</v>
      </c>
      <c r="S55">
        <v>80</v>
      </c>
    </row>
    <row r="56" spans="1:19" x14ac:dyDescent="0.25">
      <c r="A56" s="2" t="s">
        <v>198</v>
      </c>
      <c r="B56" s="4">
        <v>4</v>
      </c>
      <c r="C56" t="s">
        <v>94</v>
      </c>
      <c r="D56" s="10">
        <v>2008019</v>
      </c>
      <c r="E56" t="s">
        <v>95</v>
      </c>
      <c r="F56" t="s">
        <v>96</v>
      </c>
      <c r="H56" s="4">
        <f t="shared" si="2"/>
        <v>320</v>
      </c>
      <c r="P56">
        <f t="shared" si="3"/>
        <v>-320</v>
      </c>
      <c r="S56">
        <v>80</v>
      </c>
    </row>
    <row r="57" spans="1:19" x14ac:dyDescent="0.25">
      <c r="A57" s="2" t="s">
        <v>199</v>
      </c>
      <c r="B57" s="4">
        <v>2</v>
      </c>
      <c r="C57" t="s">
        <v>97</v>
      </c>
      <c r="D57" s="10">
        <v>2008020</v>
      </c>
      <c r="E57" t="s">
        <v>98</v>
      </c>
      <c r="F57" t="s">
        <v>99</v>
      </c>
      <c r="H57" s="4">
        <f t="shared" si="2"/>
        <v>160</v>
      </c>
      <c r="P57">
        <f t="shared" si="3"/>
        <v>-160</v>
      </c>
      <c r="S57">
        <v>80</v>
      </c>
    </row>
    <row r="58" spans="1:19" x14ac:dyDescent="0.25">
      <c r="D58" s="10"/>
      <c r="H58" s="4">
        <f>B58*S58</f>
        <v>0</v>
      </c>
    </row>
    <row r="59" spans="1:19" x14ac:dyDescent="0.25">
      <c r="A59" s="2" t="s">
        <v>200</v>
      </c>
      <c r="B59" s="4">
        <v>3</v>
      </c>
      <c r="C59" t="s">
        <v>83</v>
      </c>
      <c r="D59" s="10">
        <v>1462926</v>
      </c>
      <c r="E59" t="s">
        <v>84</v>
      </c>
      <c r="F59" t="s">
        <v>82</v>
      </c>
      <c r="H59" s="4">
        <f>B59*S59</f>
        <v>240</v>
      </c>
      <c r="P59">
        <f>I59-H59</f>
        <v>-240</v>
      </c>
      <c r="S59">
        <v>80</v>
      </c>
    </row>
    <row r="60" spans="1:19" x14ac:dyDescent="0.25">
      <c r="A60" s="11" t="s">
        <v>201</v>
      </c>
      <c r="B60" s="13">
        <v>3</v>
      </c>
      <c r="C60" s="12" t="s">
        <v>202</v>
      </c>
      <c r="D60" s="10">
        <v>1462950</v>
      </c>
      <c r="E60" s="10" t="s">
        <v>77</v>
      </c>
      <c r="F60" s="10" t="s">
        <v>78</v>
      </c>
      <c r="G60" s="10"/>
      <c r="H60" s="4">
        <f>B60*S60</f>
        <v>240</v>
      </c>
      <c r="S60">
        <v>80</v>
      </c>
    </row>
    <row r="61" spans="1:19" x14ac:dyDescent="0.25">
      <c r="A61" s="2" t="s">
        <v>100</v>
      </c>
      <c r="B61" s="4">
        <v>1</v>
      </c>
      <c r="C61" t="s">
        <v>101</v>
      </c>
      <c r="E61" t="s">
        <v>92</v>
      </c>
      <c r="F61" t="s">
        <v>93</v>
      </c>
      <c r="H61" s="4">
        <f t="shared" si="2"/>
        <v>80</v>
      </c>
      <c r="P61">
        <f t="shared" si="3"/>
        <v>-80</v>
      </c>
      <c r="S61">
        <v>80</v>
      </c>
    </row>
    <row r="62" spans="1:19" x14ac:dyDescent="0.25">
      <c r="H62" s="4">
        <f t="shared" si="2"/>
        <v>0</v>
      </c>
      <c r="P62">
        <f t="shared" si="3"/>
        <v>0</v>
      </c>
      <c r="S62">
        <v>80</v>
      </c>
    </row>
    <row r="63" spans="1:19" x14ac:dyDescent="0.25">
      <c r="H63" s="4">
        <f t="shared" si="2"/>
        <v>0</v>
      </c>
      <c r="P63">
        <f t="shared" si="3"/>
        <v>0</v>
      </c>
      <c r="S63">
        <v>80</v>
      </c>
    </row>
    <row r="64" spans="1:19" x14ac:dyDescent="0.25">
      <c r="A64" s="2" t="s">
        <v>104</v>
      </c>
      <c r="B64" s="4">
        <v>1</v>
      </c>
      <c r="C64" t="s">
        <v>105</v>
      </c>
      <c r="D64" t="s">
        <v>105</v>
      </c>
      <c r="E64" t="s">
        <v>106</v>
      </c>
      <c r="F64" t="s">
        <v>107</v>
      </c>
      <c r="H64" s="4">
        <f t="shared" si="2"/>
        <v>80</v>
      </c>
      <c r="P64">
        <f t="shared" si="3"/>
        <v>-80</v>
      </c>
      <c r="S64">
        <v>80</v>
      </c>
    </row>
    <row r="65" spans="1:19" x14ac:dyDescent="0.25">
      <c r="H65" s="4">
        <f t="shared" si="2"/>
        <v>0</v>
      </c>
      <c r="P65">
        <f t="shared" si="3"/>
        <v>0</v>
      </c>
      <c r="S65">
        <v>80</v>
      </c>
    </row>
    <row r="66" spans="1:19" x14ac:dyDescent="0.25">
      <c r="A66" s="2" t="s">
        <v>108</v>
      </c>
      <c r="B66" s="4">
        <v>2</v>
      </c>
      <c r="C66" t="s">
        <v>109</v>
      </c>
      <c r="D66" t="s">
        <v>110</v>
      </c>
      <c r="E66" t="s">
        <v>111</v>
      </c>
      <c r="F66" t="s">
        <v>112</v>
      </c>
      <c r="H66" s="4">
        <f t="shared" si="2"/>
        <v>160</v>
      </c>
      <c r="P66">
        <f t="shared" si="3"/>
        <v>-160</v>
      </c>
      <c r="S66">
        <v>80</v>
      </c>
    </row>
    <row r="67" spans="1:19" x14ac:dyDescent="0.25">
      <c r="H67" s="4">
        <f t="shared" si="2"/>
        <v>0</v>
      </c>
      <c r="P67">
        <f t="shared" si="3"/>
        <v>0</v>
      </c>
      <c r="S67">
        <v>80</v>
      </c>
    </row>
    <row r="68" spans="1:19" ht="30" x14ac:dyDescent="0.25">
      <c r="A68" s="2" t="s">
        <v>113</v>
      </c>
      <c r="B68" s="4">
        <v>7</v>
      </c>
      <c r="C68" t="s">
        <v>114</v>
      </c>
      <c r="D68" t="s">
        <v>110</v>
      </c>
      <c r="E68" t="s">
        <v>111</v>
      </c>
      <c r="F68" t="s">
        <v>112</v>
      </c>
      <c r="H68" s="4">
        <f t="shared" si="2"/>
        <v>560</v>
      </c>
      <c r="P68">
        <f t="shared" si="3"/>
        <v>-560</v>
      </c>
      <c r="S68">
        <v>80</v>
      </c>
    </row>
    <row r="69" spans="1:19" x14ac:dyDescent="0.25">
      <c r="H69" s="4">
        <f t="shared" si="2"/>
        <v>0</v>
      </c>
      <c r="P69">
        <f t="shared" si="3"/>
        <v>0</v>
      </c>
      <c r="S69">
        <v>80</v>
      </c>
    </row>
    <row r="70" spans="1:19" x14ac:dyDescent="0.25">
      <c r="A70" s="2" t="s">
        <v>115</v>
      </c>
      <c r="B70" s="4">
        <v>3</v>
      </c>
      <c r="C70" t="s">
        <v>116</v>
      </c>
      <c r="D70" t="s">
        <v>110</v>
      </c>
      <c r="E70" t="s">
        <v>111</v>
      </c>
      <c r="F70" t="s">
        <v>112</v>
      </c>
      <c r="H70" s="4">
        <f t="shared" si="2"/>
        <v>240</v>
      </c>
      <c r="P70">
        <f t="shared" si="3"/>
        <v>-240</v>
      </c>
      <c r="S70">
        <v>80</v>
      </c>
    </row>
    <row r="71" spans="1:19" x14ac:dyDescent="0.25">
      <c r="H71" s="4">
        <f t="shared" si="2"/>
        <v>0</v>
      </c>
      <c r="P71">
        <f t="shared" si="3"/>
        <v>0</v>
      </c>
      <c r="S71">
        <v>80</v>
      </c>
    </row>
    <row r="72" spans="1:19" ht="60" x14ac:dyDescent="0.25">
      <c r="A72" s="2" t="s">
        <v>117</v>
      </c>
      <c r="B72" s="4">
        <v>18</v>
      </c>
      <c r="C72" t="s">
        <v>118</v>
      </c>
      <c r="D72" t="s">
        <v>110</v>
      </c>
      <c r="E72" t="s">
        <v>111</v>
      </c>
      <c r="F72" t="s">
        <v>112</v>
      </c>
      <c r="H72" s="4">
        <f t="shared" si="2"/>
        <v>1440</v>
      </c>
      <c r="P72">
        <f t="shared" si="3"/>
        <v>-1440</v>
      </c>
      <c r="S72">
        <v>80</v>
      </c>
    </row>
    <row r="73" spans="1:19" x14ac:dyDescent="0.25">
      <c r="H73" s="4">
        <f t="shared" si="2"/>
        <v>0</v>
      </c>
      <c r="P73">
        <f t="shared" si="3"/>
        <v>0</v>
      </c>
      <c r="S73">
        <v>80</v>
      </c>
    </row>
    <row r="74" spans="1:19" x14ac:dyDescent="0.25">
      <c r="A74" s="2" t="s">
        <v>119</v>
      </c>
      <c r="B74" s="4">
        <v>2</v>
      </c>
      <c r="C74" t="s">
        <v>120</v>
      </c>
      <c r="D74" t="s">
        <v>110</v>
      </c>
      <c r="E74" t="s">
        <v>111</v>
      </c>
      <c r="F74" t="s">
        <v>112</v>
      </c>
      <c r="H74" s="4">
        <f t="shared" si="2"/>
        <v>160</v>
      </c>
      <c r="P74">
        <f t="shared" si="3"/>
        <v>-160</v>
      </c>
      <c r="S74">
        <v>80</v>
      </c>
    </row>
    <row r="75" spans="1:19" x14ac:dyDescent="0.25">
      <c r="H75" s="4">
        <f t="shared" ref="H75:H118" si="4">B75*S75</f>
        <v>0</v>
      </c>
      <c r="P75">
        <f t="shared" ref="P75:P108" si="5">I75-H75</f>
        <v>0</v>
      </c>
      <c r="S75">
        <v>80</v>
      </c>
    </row>
    <row r="76" spans="1:19" x14ac:dyDescent="0.25">
      <c r="A76" s="2" t="s">
        <v>121</v>
      </c>
      <c r="B76" s="4">
        <v>4</v>
      </c>
      <c r="C76" t="s">
        <v>122</v>
      </c>
      <c r="D76" t="s">
        <v>110</v>
      </c>
      <c r="E76" t="s">
        <v>111</v>
      </c>
      <c r="F76" t="s">
        <v>112</v>
      </c>
      <c r="H76" s="4">
        <f t="shared" si="4"/>
        <v>320</v>
      </c>
      <c r="P76">
        <f t="shared" si="5"/>
        <v>-320</v>
      </c>
      <c r="S76">
        <v>80</v>
      </c>
    </row>
    <row r="77" spans="1:19" x14ac:dyDescent="0.25">
      <c r="H77" s="4">
        <f t="shared" si="4"/>
        <v>0</v>
      </c>
      <c r="P77">
        <f t="shared" si="5"/>
        <v>0</v>
      </c>
      <c r="S77">
        <v>80</v>
      </c>
    </row>
    <row r="78" spans="1:19" x14ac:dyDescent="0.25">
      <c r="A78" s="2" t="s">
        <v>123</v>
      </c>
      <c r="B78" s="4">
        <v>3</v>
      </c>
      <c r="C78" t="s">
        <v>124</v>
      </c>
      <c r="D78" t="s">
        <v>110</v>
      </c>
      <c r="E78" t="s">
        <v>111</v>
      </c>
      <c r="F78" t="s">
        <v>112</v>
      </c>
      <c r="H78" s="4">
        <f t="shared" si="4"/>
        <v>240</v>
      </c>
      <c r="P78">
        <f t="shared" si="5"/>
        <v>-240</v>
      </c>
      <c r="S78">
        <v>80</v>
      </c>
    </row>
    <row r="79" spans="1:19" x14ac:dyDescent="0.25">
      <c r="H79" s="4">
        <f t="shared" si="4"/>
        <v>0</v>
      </c>
      <c r="P79">
        <f t="shared" si="5"/>
        <v>0</v>
      </c>
      <c r="S79">
        <v>80</v>
      </c>
    </row>
    <row r="80" spans="1:19" x14ac:dyDescent="0.25">
      <c r="A80" s="2" t="s">
        <v>125</v>
      </c>
      <c r="B80" s="4">
        <v>1</v>
      </c>
      <c r="C80" t="s">
        <v>126</v>
      </c>
      <c r="D80" t="s">
        <v>127</v>
      </c>
      <c r="E80" t="s">
        <v>128</v>
      </c>
      <c r="F80" t="s">
        <v>129</v>
      </c>
      <c r="H80" s="4">
        <f t="shared" si="4"/>
        <v>80</v>
      </c>
      <c r="P80">
        <f t="shared" si="5"/>
        <v>-80</v>
      </c>
      <c r="S80">
        <v>80</v>
      </c>
    </row>
    <row r="81" spans="1:19" x14ac:dyDescent="0.25">
      <c r="H81" s="4">
        <f t="shared" si="4"/>
        <v>0</v>
      </c>
      <c r="P81">
        <f t="shared" si="5"/>
        <v>0</v>
      </c>
      <c r="S81">
        <v>80</v>
      </c>
    </row>
    <row r="82" spans="1:19" x14ac:dyDescent="0.25">
      <c r="A82" s="2" t="s">
        <v>130</v>
      </c>
      <c r="B82" s="4">
        <v>1</v>
      </c>
      <c r="C82" t="s">
        <v>131</v>
      </c>
      <c r="D82" t="s">
        <v>132</v>
      </c>
      <c r="F82" t="s">
        <v>133</v>
      </c>
      <c r="H82" s="4">
        <f t="shared" si="4"/>
        <v>80</v>
      </c>
      <c r="P82">
        <f t="shared" si="5"/>
        <v>-80</v>
      </c>
      <c r="S82">
        <v>80</v>
      </c>
    </row>
    <row r="83" spans="1:19" x14ac:dyDescent="0.25">
      <c r="H83" s="4">
        <f t="shared" si="4"/>
        <v>0</v>
      </c>
      <c r="P83">
        <f t="shared" si="5"/>
        <v>0</v>
      </c>
      <c r="S83">
        <v>80</v>
      </c>
    </row>
    <row r="84" spans="1:19" x14ac:dyDescent="0.25">
      <c r="A84" s="2" t="s">
        <v>134</v>
      </c>
      <c r="B84" s="4">
        <v>1</v>
      </c>
      <c r="C84" t="s">
        <v>135</v>
      </c>
      <c r="D84" t="s">
        <v>132</v>
      </c>
      <c r="F84" t="s">
        <v>133</v>
      </c>
      <c r="H84" s="4">
        <f t="shared" si="4"/>
        <v>80</v>
      </c>
      <c r="P84">
        <f t="shared" si="5"/>
        <v>-80</v>
      </c>
      <c r="S84">
        <v>80</v>
      </c>
    </row>
    <row r="85" spans="1:19" x14ac:dyDescent="0.25">
      <c r="H85" s="4">
        <f t="shared" si="4"/>
        <v>0</v>
      </c>
      <c r="P85">
        <f t="shared" si="5"/>
        <v>0</v>
      </c>
      <c r="S85">
        <v>80</v>
      </c>
    </row>
    <row r="86" spans="1:19" x14ac:dyDescent="0.25">
      <c r="H86" s="4">
        <f t="shared" si="4"/>
        <v>0</v>
      </c>
      <c r="P86">
        <f t="shared" si="5"/>
        <v>0</v>
      </c>
      <c r="S86">
        <v>80</v>
      </c>
    </row>
    <row r="87" spans="1:19" x14ac:dyDescent="0.25">
      <c r="A87" s="2" t="s">
        <v>136</v>
      </c>
      <c r="B87" s="4">
        <v>1</v>
      </c>
      <c r="C87" t="s">
        <v>137</v>
      </c>
      <c r="D87" t="s">
        <v>137</v>
      </c>
      <c r="E87" t="s">
        <v>138</v>
      </c>
      <c r="F87" t="s">
        <v>139</v>
      </c>
      <c r="H87" s="4">
        <f t="shared" si="4"/>
        <v>80</v>
      </c>
      <c r="P87">
        <f t="shared" si="5"/>
        <v>-80</v>
      </c>
      <c r="S87">
        <v>80</v>
      </c>
    </row>
    <row r="88" spans="1:19" x14ac:dyDescent="0.25">
      <c r="H88" s="4">
        <f t="shared" si="4"/>
        <v>0</v>
      </c>
      <c r="P88">
        <f t="shared" si="5"/>
        <v>0</v>
      </c>
      <c r="S88">
        <v>80</v>
      </c>
    </row>
    <row r="89" spans="1:19" x14ac:dyDescent="0.25">
      <c r="A89" s="2" t="s">
        <v>140</v>
      </c>
      <c r="B89" s="4">
        <v>2</v>
      </c>
      <c r="C89" t="s">
        <v>141</v>
      </c>
      <c r="D89" t="s">
        <v>141</v>
      </c>
      <c r="E89" t="s">
        <v>142</v>
      </c>
      <c r="F89" t="s">
        <v>143</v>
      </c>
      <c r="H89" s="4">
        <f t="shared" si="4"/>
        <v>160</v>
      </c>
      <c r="P89">
        <f t="shared" si="5"/>
        <v>-160</v>
      </c>
      <c r="S89">
        <v>80</v>
      </c>
    </row>
    <row r="90" spans="1:19" x14ac:dyDescent="0.25">
      <c r="H90" s="4">
        <f t="shared" si="4"/>
        <v>0</v>
      </c>
      <c r="P90">
        <f t="shared" si="5"/>
        <v>0</v>
      </c>
      <c r="S90">
        <v>80</v>
      </c>
    </row>
    <row r="91" spans="1:19" x14ac:dyDescent="0.25">
      <c r="A91" s="2" t="s">
        <v>144</v>
      </c>
      <c r="B91" s="4">
        <v>2</v>
      </c>
      <c r="C91">
        <v>4094</v>
      </c>
      <c r="D91">
        <v>4094</v>
      </c>
      <c r="E91" t="s">
        <v>145</v>
      </c>
      <c r="F91" t="s">
        <v>146</v>
      </c>
      <c r="H91" s="4">
        <f t="shared" si="4"/>
        <v>160</v>
      </c>
      <c r="P91">
        <f t="shared" si="5"/>
        <v>-160</v>
      </c>
      <c r="S91">
        <v>80</v>
      </c>
    </row>
    <row r="92" spans="1:19" x14ac:dyDescent="0.25">
      <c r="H92" s="4">
        <f t="shared" si="4"/>
        <v>0</v>
      </c>
      <c r="P92">
        <f t="shared" si="5"/>
        <v>0</v>
      </c>
      <c r="S92">
        <v>80</v>
      </c>
    </row>
    <row r="93" spans="1:19" x14ac:dyDescent="0.25">
      <c r="A93" s="2" t="s">
        <v>147</v>
      </c>
      <c r="B93" s="4">
        <v>1</v>
      </c>
      <c r="C93">
        <v>4069</v>
      </c>
      <c r="D93">
        <v>4069</v>
      </c>
      <c r="E93" t="s">
        <v>148</v>
      </c>
      <c r="F93" t="s">
        <v>149</v>
      </c>
      <c r="H93" s="4">
        <f t="shared" si="4"/>
        <v>80</v>
      </c>
      <c r="P93">
        <f t="shared" si="5"/>
        <v>-80</v>
      </c>
      <c r="S93">
        <v>80</v>
      </c>
    </row>
    <row r="94" spans="1:19" x14ac:dyDescent="0.25">
      <c r="H94" s="4">
        <f t="shared" si="4"/>
        <v>0</v>
      </c>
      <c r="P94">
        <f t="shared" si="5"/>
        <v>0</v>
      </c>
      <c r="S94">
        <v>80</v>
      </c>
    </row>
    <row r="95" spans="1:19" x14ac:dyDescent="0.25">
      <c r="A95" s="2" t="s">
        <v>150</v>
      </c>
      <c r="B95" s="4">
        <v>4</v>
      </c>
      <c r="C95">
        <v>4081</v>
      </c>
      <c r="D95">
        <v>4081</v>
      </c>
      <c r="E95" t="s">
        <v>148</v>
      </c>
      <c r="F95" t="s">
        <v>151</v>
      </c>
      <c r="H95" s="4">
        <f t="shared" si="4"/>
        <v>320</v>
      </c>
      <c r="P95">
        <f t="shared" si="5"/>
        <v>-320</v>
      </c>
      <c r="S95">
        <v>80</v>
      </c>
    </row>
    <row r="96" spans="1:19" x14ac:dyDescent="0.25">
      <c r="H96" s="4">
        <f t="shared" si="4"/>
        <v>0</v>
      </c>
      <c r="P96">
        <f t="shared" si="5"/>
        <v>0</v>
      </c>
      <c r="S96">
        <v>80</v>
      </c>
    </row>
    <row r="97" spans="1:19" x14ac:dyDescent="0.25">
      <c r="A97" s="2" t="s">
        <v>152</v>
      </c>
      <c r="B97" s="4">
        <v>2</v>
      </c>
      <c r="C97" t="s">
        <v>153</v>
      </c>
      <c r="D97" t="s">
        <v>153</v>
      </c>
      <c r="E97" t="s">
        <v>148</v>
      </c>
      <c r="F97" t="s">
        <v>154</v>
      </c>
      <c r="H97" s="4">
        <f t="shared" si="4"/>
        <v>160</v>
      </c>
      <c r="P97">
        <f t="shared" si="5"/>
        <v>-160</v>
      </c>
      <c r="S97">
        <v>80</v>
      </c>
    </row>
    <row r="98" spans="1:19" x14ac:dyDescent="0.25">
      <c r="H98" s="4">
        <f t="shared" si="4"/>
        <v>0</v>
      </c>
      <c r="P98">
        <f t="shared" si="5"/>
        <v>0</v>
      </c>
      <c r="S98">
        <v>80</v>
      </c>
    </row>
    <row r="99" spans="1:19" x14ac:dyDescent="0.25">
      <c r="A99" s="2" t="s">
        <v>155</v>
      </c>
      <c r="B99" s="4">
        <v>3</v>
      </c>
      <c r="C99" t="s">
        <v>156</v>
      </c>
      <c r="D99" t="s">
        <v>156</v>
      </c>
      <c r="E99" t="s">
        <v>157</v>
      </c>
      <c r="F99" t="s">
        <v>158</v>
      </c>
      <c r="H99" s="4">
        <f t="shared" si="4"/>
        <v>240</v>
      </c>
      <c r="P99">
        <f t="shared" si="5"/>
        <v>-240</v>
      </c>
      <c r="S99">
        <v>80</v>
      </c>
    </row>
    <row r="100" spans="1:19" x14ac:dyDescent="0.25">
      <c r="H100" s="4">
        <f t="shared" si="4"/>
        <v>0</v>
      </c>
      <c r="P100">
        <f t="shared" si="5"/>
        <v>0</v>
      </c>
      <c r="S100">
        <v>80</v>
      </c>
    </row>
    <row r="101" spans="1:19" x14ac:dyDescent="0.25">
      <c r="A101" s="2" t="s">
        <v>159</v>
      </c>
      <c r="B101" s="4">
        <v>1</v>
      </c>
      <c r="C101" t="s">
        <v>160</v>
      </c>
      <c r="D101" t="s">
        <v>160</v>
      </c>
      <c r="E101" t="s">
        <v>161</v>
      </c>
      <c r="F101" t="s">
        <v>162</v>
      </c>
      <c r="H101" s="4">
        <f t="shared" si="4"/>
        <v>80</v>
      </c>
      <c r="P101">
        <f t="shared" si="5"/>
        <v>-80</v>
      </c>
      <c r="S101">
        <v>80</v>
      </c>
    </row>
    <row r="102" spans="1:19" x14ac:dyDescent="0.25">
      <c r="H102" s="4">
        <f t="shared" si="4"/>
        <v>0</v>
      </c>
      <c r="P102">
        <f t="shared" si="5"/>
        <v>0</v>
      </c>
      <c r="S102">
        <v>80</v>
      </c>
    </row>
    <row r="103" spans="1:19" x14ac:dyDescent="0.25">
      <c r="A103" s="2" t="s">
        <v>163</v>
      </c>
      <c r="B103" s="4">
        <v>1</v>
      </c>
      <c r="C103" t="s">
        <v>164</v>
      </c>
      <c r="D103" t="s">
        <v>164</v>
      </c>
      <c r="E103" t="s">
        <v>165</v>
      </c>
      <c r="F103" t="s">
        <v>166</v>
      </c>
      <c r="H103" s="4">
        <f t="shared" si="4"/>
        <v>80</v>
      </c>
      <c r="P103">
        <f t="shared" si="5"/>
        <v>-80</v>
      </c>
      <c r="S103">
        <v>80</v>
      </c>
    </row>
    <row r="104" spans="1:19" x14ac:dyDescent="0.25">
      <c r="H104" s="4">
        <f t="shared" si="4"/>
        <v>0</v>
      </c>
      <c r="P104">
        <f t="shared" si="5"/>
        <v>0</v>
      </c>
      <c r="S104">
        <v>80</v>
      </c>
    </row>
    <row r="105" spans="1:19" x14ac:dyDescent="0.25">
      <c r="A105" s="2" t="s">
        <v>167</v>
      </c>
      <c r="B105" s="4">
        <v>3</v>
      </c>
      <c r="C105" t="s">
        <v>168</v>
      </c>
      <c r="D105" t="s">
        <v>168</v>
      </c>
      <c r="E105" t="s">
        <v>148</v>
      </c>
      <c r="F105" t="s">
        <v>169</v>
      </c>
      <c r="H105" s="4">
        <f t="shared" si="4"/>
        <v>240</v>
      </c>
      <c r="P105">
        <f t="shared" si="5"/>
        <v>-240</v>
      </c>
      <c r="S105">
        <v>80</v>
      </c>
    </row>
    <row r="106" spans="1:19" x14ac:dyDescent="0.25">
      <c r="H106" s="4">
        <f t="shared" si="4"/>
        <v>0</v>
      </c>
      <c r="P106">
        <f t="shared" si="5"/>
        <v>0</v>
      </c>
      <c r="S106">
        <v>80</v>
      </c>
    </row>
    <row r="107" spans="1:19" x14ac:dyDescent="0.25">
      <c r="A107" s="2" t="s">
        <v>170</v>
      </c>
      <c r="B107" s="4">
        <v>2</v>
      </c>
      <c r="C107" t="s">
        <v>171</v>
      </c>
      <c r="D107" t="s">
        <v>172</v>
      </c>
      <c r="E107" t="s">
        <v>173</v>
      </c>
      <c r="F107" t="s">
        <v>174</v>
      </c>
      <c r="H107" s="4">
        <f t="shared" si="4"/>
        <v>160</v>
      </c>
      <c r="P107">
        <f t="shared" si="5"/>
        <v>-160</v>
      </c>
      <c r="S107">
        <v>80</v>
      </c>
    </row>
    <row r="108" spans="1:19" x14ac:dyDescent="0.25">
      <c r="H108" s="4">
        <f t="shared" si="4"/>
        <v>0</v>
      </c>
      <c r="P108">
        <f t="shared" si="5"/>
        <v>0</v>
      </c>
      <c r="S108">
        <v>80</v>
      </c>
    </row>
    <row r="109" spans="1:19" x14ac:dyDescent="0.25">
      <c r="H109" s="4">
        <f t="shared" si="4"/>
        <v>0</v>
      </c>
      <c r="S109">
        <v>80</v>
      </c>
    </row>
    <row r="110" spans="1:19" x14ac:dyDescent="0.25">
      <c r="H110" s="4">
        <f t="shared" si="4"/>
        <v>0</v>
      </c>
      <c r="S110">
        <v>80</v>
      </c>
    </row>
    <row r="111" spans="1:19" x14ac:dyDescent="0.25">
      <c r="H111" s="4">
        <f t="shared" si="4"/>
        <v>0</v>
      </c>
      <c r="S111">
        <v>80</v>
      </c>
    </row>
    <row r="112" spans="1:19" x14ac:dyDescent="0.25">
      <c r="H112" s="4">
        <f t="shared" si="4"/>
        <v>0</v>
      </c>
      <c r="S112">
        <v>80</v>
      </c>
    </row>
    <row r="113" spans="8:19" x14ac:dyDescent="0.25">
      <c r="H113" s="4">
        <f t="shared" si="4"/>
        <v>0</v>
      </c>
      <c r="S113">
        <v>80</v>
      </c>
    </row>
    <row r="114" spans="8:19" x14ac:dyDescent="0.25">
      <c r="H114" s="4">
        <f t="shared" si="4"/>
        <v>0</v>
      </c>
      <c r="S114">
        <v>80</v>
      </c>
    </row>
    <row r="115" spans="8:19" x14ac:dyDescent="0.25">
      <c r="H115" s="4">
        <f t="shared" si="4"/>
        <v>0</v>
      </c>
      <c r="S115">
        <v>80</v>
      </c>
    </row>
    <row r="116" spans="8:19" x14ac:dyDescent="0.25">
      <c r="H116" s="4">
        <f t="shared" si="4"/>
        <v>0</v>
      </c>
    </row>
    <row r="117" spans="8:19" x14ac:dyDescent="0.25">
      <c r="H117" s="4">
        <f t="shared" si="4"/>
        <v>0</v>
      </c>
    </row>
    <row r="118" spans="8:19" x14ac:dyDescent="0.25">
      <c r="H118" s="4">
        <f t="shared" si="4"/>
        <v>0</v>
      </c>
    </row>
  </sheetData>
  <conditionalFormatting sqref="L1:N24 L26:N28 N25 L30:N30 N29 L32:N32 N31 N33 L34:N40 N41 L42:N1048576">
    <cfRule type="cellIs" dxfId="39" priority="38" operator="equal">
      <formula>"n"</formula>
    </cfRule>
    <cfRule type="cellIs" dxfId="38" priority="40" operator="equal">
      <formula>"y"</formula>
    </cfRule>
  </conditionalFormatting>
  <conditionalFormatting sqref="H1:H1048576">
    <cfRule type="cellIs" dxfId="37" priority="39" operator="equal">
      <formula>0</formula>
    </cfRule>
  </conditionalFormatting>
  <conditionalFormatting sqref="P1:P1048576">
    <cfRule type="cellIs" dxfId="36" priority="35" operator="greaterThan">
      <formula>0</formula>
    </cfRule>
    <cfRule type="cellIs" dxfId="35" priority="36" operator="lessThan">
      <formula>0</formula>
    </cfRule>
    <cfRule type="cellIs" dxfId="34" priority="37" operator="equal">
      <formula>0</formula>
    </cfRule>
  </conditionalFormatting>
  <conditionalFormatting sqref="J1:J24 J26:J28 J30 J32 J34:J40 J42:J1048576">
    <cfRule type="cellIs" dxfId="33" priority="31" operator="equal">
      <formula>$J$15</formula>
    </cfRule>
    <cfRule type="cellIs" dxfId="32" priority="32" operator="equal">
      <formula>$J$13</formula>
    </cfRule>
    <cfRule type="cellIs" dxfId="31" priority="33" operator="equal">
      <formula>$J$7</formula>
    </cfRule>
    <cfRule type="cellIs" dxfId="30" priority="34" operator="equal">
      <formula>$J$3</formula>
    </cfRule>
  </conditionalFormatting>
  <conditionalFormatting sqref="L25:M25">
    <cfRule type="cellIs" dxfId="29" priority="29" operator="equal">
      <formula>"n"</formula>
    </cfRule>
    <cfRule type="cellIs" dxfId="28" priority="30" operator="equal">
      <formula>"y"</formula>
    </cfRule>
  </conditionalFormatting>
  <conditionalFormatting sqref="J25">
    <cfRule type="cellIs" dxfId="27" priority="25" operator="equal">
      <formula>$J$15</formula>
    </cfRule>
    <cfRule type="cellIs" dxfId="26" priority="26" operator="equal">
      <formula>$J$13</formula>
    </cfRule>
    <cfRule type="cellIs" dxfId="25" priority="27" operator="equal">
      <formula>$J$7</formula>
    </cfRule>
    <cfRule type="cellIs" dxfId="24" priority="28" operator="equal">
      <formula>$J$3</formula>
    </cfRule>
  </conditionalFormatting>
  <conditionalFormatting sqref="L29:M29">
    <cfRule type="cellIs" dxfId="23" priority="23" operator="equal">
      <formula>"n"</formula>
    </cfRule>
    <cfRule type="cellIs" dxfId="22" priority="24" operator="equal">
      <formula>"y"</formula>
    </cfRule>
  </conditionalFormatting>
  <conditionalFormatting sqref="J29">
    <cfRule type="cellIs" dxfId="21" priority="19" operator="equal">
      <formula>$J$15</formula>
    </cfRule>
    <cfRule type="cellIs" dxfId="20" priority="20" operator="equal">
      <formula>$J$13</formula>
    </cfRule>
    <cfRule type="cellIs" dxfId="19" priority="21" operator="equal">
      <formula>$J$7</formula>
    </cfRule>
    <cfRule type="cellIs" dxfId="18" priority="22" operator="equal">
      <formula>$J$3</formula>
    </cfRule>
  </conditionalFormatting>
  <conditionalFormatting sqref="L31:M31">
    <cfRule type="cellIs" dxfId="17" priority="17" operator="equal">
      <formula>"n"</formula>
    </cfRule>
    <cfRule type="cellIs" dxfId="16" priority="18" operator="equal">
      <formula>"y"</formula>
    </cfRule>
  </conditionalFormatting>
  <conditionalFormatting sqref="J31">
    <cfRule type="cellIs" dxfId="15" priority="13" operator="equal">
      <formula>$J$15</formula>
    </cfRule>
    <cfRule type="cellIs" dxfId="14" priority="14" operator="equal">
      <formula>$J$13</formula>
    </cfRule>
    <cfRule type="cellIs" dxfId="13" priority="15" operator="equal">
      <formula>$J$7</formula>
    </cfRule>
    <cfRule type="cellIs" dxfId="12" priority="16" operator="equal">
      <formula>$J$3</formula>
    </cfRule>
  </conditionalFormatting>
  <conditionalFormatting sqref="L33:M33">
    <cfRule type="cellIs" dxfId="11" priority="11" operator="equal">
      <formula>"n"</formula>
    </cfRule>
    <cfRule type="cellIs" dxfId="10" priority="12" operator="equal">
      <formula>"y"</formula>
    </cfRule>
  </conditionalFormatting>
  <conditionalFormatting sqref="J33">
    <cfRule type="cellIs" dxfId="9" priority="7" operator="equal">
      <formula>$J$15</formula>
    </cfRule>
    <cfRule type="cellIs" dxfId="8" priority="8" operator="equal">
      <formula>$J$13</formula>
    </cfRule>
    <cfRule type="cellIs" dxfId="7" priority="9" operator="equal">
      <formula>$J$7</formula>
    </cfRule>
    <cfRule type="cellIs" dxfId="6" priority="10" operator="equal">
      <formula>$J$3</formula>
    </cfRule>
  </conditionalFormatting>
  <conditionalFormatting sqref="L41:M41">
    <cfRule type="cellIs" dxfId="5" priority="5" operator="equal">
      <formula>"n"</formula>
    </cfRule>
    <cfRule type="cellIs" dxfId="4" priority="6" operator="equal">
      <formula>"y"</formula>
    </cfRule>
  </conditionalFormatting>
  <conditionalFormatting sqref="J41">
    <cfRule type="cellIs" dxfId="3" priority="1" operator="equal">
      <formula>$J$15</formula>
    </cfRule>
    <cfRule type="cellIs" dxfId="2" priority="2" operator="equal">
      <formula>$J$13</formula>
    </cfRule>
    <cfRule type="cellIs" dxfId="1" priority="3" operator="equal">
      <formula>$J$7</formula>
    </cfRule>
    <cfRule type="cellIs" dxfId="0" priority="4" operator="equal">
      <formula>$J$3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dcterms:created xsi:type="dcterms:W3CDTF">2022-05-04T14:37:04Z</dcterms:created>
  <dcterms:modified xsi:type="dcterms:W3CDTF">2022-05-04T16:01:32Z</dcterms:modified>
</cp:coreProperties>
</file>