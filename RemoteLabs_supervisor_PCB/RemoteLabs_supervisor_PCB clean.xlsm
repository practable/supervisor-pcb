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<sst xmlns="http://schemas.openxmlformats.org/spreadsheetml/2006/main" count="585" uniqueCount="288">
  <si>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</si>
  <si>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</si>
  <si>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</si>
  <si>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</si>
  <si>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</si>
  <si>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</si>
  <si>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</si>
  <si>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</si>
  <si>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</si>
  <si>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</si>
  <si>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</si>
  <si>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</si>
  <si>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</si>
  <si>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</si>
  <si>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</si>
  <si>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</si>
  <si>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</si>
  <si>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</si>
  <si>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</si>
  <si>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</si>
  <si>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</si>
  <si>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</si>
  <si>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</si>
  <si>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</si>
  <si>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</si>
  <si>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</si>
  <si>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</si>
  <si>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</si>
  <si>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</si>
  <si>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</si>
  <si>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</si>
  <si>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</si>
  <si>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</si>
  <si>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</si>
  <si>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</si>
  <si>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</si>
  <si>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</si>
  <si>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</si>
  <si>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</si>
  <si>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</si>
  <si>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</si>
  <si>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</si>
  <si>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</si>
  <si>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</si>
  <si>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</si>
  <si>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</si>
  <si>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</si>
  <si>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</si>
  <si>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</si>
  <si>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</si>
  <si>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</si>
  <si>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</si>
  <si>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</si>
  <si>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</si>
  <si>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</si>
  <si>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</si>
  <si>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</si>
  <si>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</si>
  <si>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</si>
  <si>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</si>
  <si>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</si>
  <si>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</si>
  <si>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</si>
  <si>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</si>
  <si>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</si>
  <si>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</si>
  <si>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</si>
  <si>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</si>
  <si>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</si>
  <si>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</si>
  <si>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</si>
  <si>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</si>
  <si>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</si>
  <si>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</si>
  <si>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</si>
  <si>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</si>
  <si>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</si>
  <si>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</si>
  <si>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</si>
  <si>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</si>
  <si>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</si>
  <si>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</si>
  <si>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</si>
  <si>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</si>
  <si>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</si>
  <si>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</si>
  <si>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</si>
  <si>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</si>
  <si>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</si>
  <si>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</si>
  <si>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</si>
  <si>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</si>
  <si>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</si>
  <si>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</si>
  <si>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</si>
  <si>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</si>
  <si>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</si>
  <si>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</si>
  <si>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</si>
  <si>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</si>
  <si>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</si>
  <si>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</si>
  <si>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</si>
  <si>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</si>
  <si>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</si>
  <si>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</si>
  <si>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</si>
  <si>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</si>
  <si>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</si>
  <si>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</si>
  <si>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</si>
  <si>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</si>
  <si>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</si>
  <si>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</si>
  <si>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</si>
  <si>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</si>
  <si>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</si>
  <si>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</si>
  <si>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</si>
  <si>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</si>
  <si>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</si>
  <si>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</si>
  <si>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</si>
  <si>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</si>
  <si>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</si>
  <si>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</si>
  <si>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</si>
  <si>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</si>
  <si>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</si>
  <si>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</si>
  <si>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</si>
  <si>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</si>
  <si>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</si>
  <si>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</si>
  <si>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</si>
  <si>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</si>
  <si>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</si>
  <si>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</si>
  <si>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</si>
  <si>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</si>
  <si>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</si>
  <si>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</si>
  <si>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</si>
  <si>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</si>
  <si>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</si>
  <si>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</si>
  <si>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</si>
  <si>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</si>
  <si>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</si>
  <si>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</si>
  <si>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</si>
  <si>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</si>
  <si>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</si>
  <si>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</si>
  <si>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</si>
  <si>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</si>
  <si>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</si>
  <si>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</si>
  <si>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</si>
  <si>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</si>
  <si>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</si>
  <si>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</si>
  <si>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</si>
  <si>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</si>
  <si>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</si>
  <si>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</si>
  <si>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</si>
  <si>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</si>
  <si>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</si>
  <si>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</si>
  <si>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</si>
  <si>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</si>
  <si>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</si>
  <si>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</si>
  <si>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</si>
  <si>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</si>
  <si>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</si>
  <si>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</si>
  <si>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</si>
  <si>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</si>
  <si>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</si>
  <si>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</si>
  <si>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</si>
  <si>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</si>
  <si>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</si>
  <si>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</si>
  <si>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4 Pin Molex, Wire-to-Board, 2.54 mm, 1 Rows, 5 Contacts, Through Hole Straight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</si>
  <si>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</si>
  <si>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</si>
  <si>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</si>
  <si>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</si>
  <si>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</si>
  <si>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</si>
  <si>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</si>
  <si>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</si>
  <si>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</si>
  <si>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</si>
  <si>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</si>
  <si>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</si>
  <si>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</si>
  <si>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</si>
  <si>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</si>
  <si>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</si>
  <si>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</si>
  <si>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</si>
  <si>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</si>
  <si>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</si>
  <si>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</si>
  <si>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</si>
  <si>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</si>
  <si>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</si>
  <si>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</si>
  <si>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</si>
  <si>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</si>
  <si>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</si>
  <si>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</si>
  <si>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</si>
  <si>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</si>
  <si>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</si>
  <si>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</si>
  <si>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</si>
  <si>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</si>
  <si>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</si>
  <si>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</si>
  <si>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</si>
  <si>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</si>
  <si>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</si>
  <si>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</si>
  <si>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</si>
  <si>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</si>
  <si>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</si>
  <si>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</si>
  <si>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https://uk.farnell.com/molex/22-23-2021/connector-header-2pos-1row-2-54mm/dp/1462926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</si>
  <si>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</si>
  <si>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</si>
  <si>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</si>
  <si>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</si>
  <si>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</si>
  <si>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</si>
  <si>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</si>
  <si>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</si>
  <si>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</si>
  <si>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</si>
  <si>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</si>
  <si>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</si>
  <si>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</si>
  <si>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</si>
  <si>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</si>
  <si>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</si>
  <si>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</si>
  <si>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</si>
  <si>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</si>
  <si>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</si>
  <si>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</si>
  <si>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</si>
  <si>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</si>
  <si>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</si>
  <si>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</si>
  <si>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</si>
  <si>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</si>
  <si>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</si>
  <si>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</si>
  <si>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</si>
  <si>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</si>
  <si>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</si>
  <si>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</si>
  <si>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</si>
  <si>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</si>
  <si>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</si>
  <si>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</si>
  <si>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4 PIN 2.54mm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</si>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</sst>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/>
    <xf numFmtId="0" fontId="0" fillId="0" borderId="0" xfId="0" applyAlignment="1"/>
    <xf numFmtId="0" fontId="16" fillId="0" borderId="0" xfId="0" applyFont="1" applyAlignment="1"/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/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/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85"/>
  <sheetViews>
    <sheetView tabSelected="1" topLeftCell="D1" zoomScaleNormal="100" workbookViewId="0">
      <pane ySplit="1" topLeftCell="A26" activePane="bottomLeft" state="frozen"/>
      <selection pane="bottomLeft" activeCell="D5" sqref="D5"/>
    </sheetView>
  </sheetViews>
  <sheetFormatPr defaultRowHeight="15" x14ac:dyDescent="0.25"/>
  <cols>
    <col min="1" max="1" width="5.85546875" style="12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19" style="2" bestFit="1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11" t="s">
        <v>0</v>
      </c>
      <c r="B1" s="3" t="s">
        <v>1</v>
      </c>
      <c r="C1" s="25" t="s">
        <v>2</v>
      </c>
      <c r="D1" s="25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7"/>
      <c r="S1" s="25" t="s">
        <v>196</v>
      </c>
      <c r="T1" s="3"/>
      <c r="U1" s="3" t="s">
        <v>197</v>
      </c>
      <c r="V1" s="3"/>
      <c r="W1" s="3"/>
      <c r="X1" s="53" t="s">
        <v>276</v>
      </c>
      <c r="AV1" s="3" t="s">
        <v>152</v>
      </c>
    </row>
    <row r="2" spans="1:48" x14ac:dyDescent="0.25">
      <c r="S2" s="26"/>
      <c r="T2" s="14"/>
      <c r="U2" s="14"/>
      <c r="V2" s="14" t="s">
        <v>199</v>
      </c>
      <c r="W2" s="14"/>
    </row>
    <row r="3" spans="1:48" x14ac:dyDescent="0.25">
      <c r="A3" s="12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6" t="s">
        <v>202</v>
      </c>
      <c r="T3" s="14"/>
      <c r="U3" s="15" t="s">
        <v>198</v>
      </c>
      <c r="V3" s="14"/>
      <c r="W3" s="14" t="s">
        <v>199</v>
      </c>
      <c r="AV3" s="2">
        <v>80</v>
      </c>
    </row>
    <row r="4" spans="1:48" x14ac:dyDescent="0.25">
      <c r="A4" s="12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6" t="s">
        <v>203</v>
      </c>
      <c r="T4" s="14"/>
      <c r="U4" s="15" t="s">
        <v>200</v>
      </c>
      <c r="V4" s="14"/>
      <c r="W4" s="14" t="s">
        <v>199</v>
      </c>
      <c r="AV4" s="2">
        <v>80</v>
      </c>
    </row>
    <row r="5" spans="1:48" x14ac:dyDescent="0.25">
      <c r="A5" s="12" t="s">
        <v>15</v>
      </c>
      <c r="B5" s="2">
        <v>1</v>
      </c>
      <c r="C5" s="6" t="s">
        <v>16</v>
      </c>
      <c r="D5" s="6" t="s">
        <v>16</v>
      </c>
      <c r="E5" s="5" t="s">
        <v>265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159</v>
      </c>
      <c r="Q5" s="2">
        <f t="shared" si="0"/>
        <v>0</v>
      </c>
      <c r="S5" s="26"/>
      <c r="T5" s="14"/>
      <c r="U5" s="15" t="s">
        <v>201</v>
      </c>
      <c r="V5" s="14"/>
      <c r="W5" s="14" t="s">
        <v>199</v>
      </c>
      <c r="AV5" s="2">
        <v>80</v>
      </c>
    </row>
    <row r="6" spans="1:48" x14ac:dyDescent="0.25">
      <c r="A6" s="12" t="s">
        <v>17</v>
      </c>
      <c r="B6" s="2">
        <v>1</v>
      </c>
      <c r="C6" s="6" t="s">
        <v>18</v>
      </c>
      <c r="D6" s="6" t="s">
        <v>18</v>
      </c>
      <c r="E6" s="5" t="s">
        <v>266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159</v>
      </c>
      <c r="Q6" s="2">
        <f t="shared" si="0"/>
        <v>0</v>
      </c>
      <c r="S6" s="26"/>
      <c r="T6" s="14"/>
      <c r="U6" s="18" t="s">
        <v>204</v>
      </c>
      <c r="V6" s="14"/>
      <c r="W6" s="14" t="s">
        <v>199</v>
      </c>
      <c r="AV6" s="2">
        <v>80</v>
      </c>
    </row>
    <row r="7" spans="1:48" s="50" customFormat="1" x14ac:dyDescent="0.25">
      <c r="A7" s="46"/>
      <c r="B7" s="47"/>
      <c r="C7" s="48"/>
      <c r="D7" s="48"/>
      <c r="E7" s="49"/>
      <c r="F7" s="49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1"/>
      <c r="T7" s="52"/>
      <c r="U7" s="52"/>
      <c r="V7" s="52"/>
      <c r="W7" s="52" t="s">
        <v>199</v>
      </c>
      <c r="X7" s="48"/>
      <c r="AV7" s="47"/>
    </row>
    <row r="8" spans="1:48" x14ac:dyDescent="0.25">
      <c r="A8" s="12" t="s">
        <v>279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159</v>
      </c>
      <c r="Q8" s="2">
        <f t="shared" si="0"/>
        <v>-75</v>
      </c>
      <c r="S8" s="37">
        <v>1907513</v>
      </c>
      <c r="T8" s="32"/>
      <c r="U8" s="36" t="s">
        <v>257</v>
      </c>
      <c r="V8" s="14"/>
      <c r="W8" s="14" t="s">
        <v>199</v>
      </c>
      <c r="AV8" s="2">
        <v>80</v>
      </c>
    </row>
    <row r="9" spans="1:48" x14ac:dyDescent="0.25">
      <c r="A9" s="12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159</v>
      </c>
      <c r="Q9" s="2">
        <f t="shared" si="0"/>
        <v>10</v>
      </c>
      <c r="S9" s="27">
        <v>2280669</v>
      </c>
      <c r="T9" s="32"/>
      <c r="U9" s="9" t="s">
        <v>207</v>
      </c>
      <c r="V9" s="14"/>
      <c r="W9" s="14" t="s">
        <v>199</v>
      </c>
      <c r="AV9" s="2">
        <v>80</v>
      </c>
    </row>
    <row r="10" spans="1:48" x14ac:dyDescent="0.25">
      <c r="A10" s="12" t="s">
        <v>280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159</v>
      </c>
      <c r="Q10" s="2">
        <f t="shared" si="0"/>
        <v>-75</v>
      </c>
      <c r="S10" s="37">
        <v>2773239</v>
      </c>
      <c r="T10" s="14"/>
      <c r="U10" s="36" t="s">
        <v>258</v>
      </c>
      <c r="V10" s="14"/>
      <c r="W10" s="14" t="s">
        <v>199</v>
      </c>
      <c r="AV10" s="2">
        <v>80</v>
      </c>
    </row>
    <row r="11" spans="1:48" x14ac:dyDescent="0.25">
      <c r="A11" s="12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159</v>
      </c>
      <c r="Q11" s="2">
        <f t="shared" si="0"/>
        <v>10</v>
      </c>
      <c r="S11" s="28">
        <v>1414696</v>
      </c>
      <c r="T11" s="33"/>
      <c r="U11" s="23" t="s">
        <v>209</v>
      </c>
      <c r="V11" s="14"/>
      <c r="W11" s="14" t="s">
        <v>199</v>
      </c>
      <c r="AV11" s="2">
        <v>80</v>
      </c>
    </row>
    <row r="12" spans="1:48" x14ac:dyDescent="0.25">
      <c r="A12" s="12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159</v>
      </c>
      <c r="Q12" s="2">
        <f t="shared" si="0"/>
        <v>20</v>
      </c>
      <c r="S12" s="29">
        <v>1759189</v>
      </c>
      <c r="T12" s="34"/>
      <c r="U12" s="23" t="s">
        <v>210</v>
      </c>
      <c r="W12" s="2" t="s">
        <v>199</v>
      </c>
      <c r="AV12" s="2">
        <v>80</v>
      </c>
    </row>
    <row r="13" spans="1:48" x14ac:dyDescent="0.25">
      <c r="A13" s="12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23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159</v>
      </c>
      <c r="Q13" s="2">
        <f t="shared" si="0"/>
        <v>14</v>
      </c>
      <c r="S13" s="29">
        <v>1432430</v>
      </c>
      <c r="T13" s="34"/>
      <c r="U13" s="23" t="s">
        <v>211</v>
      </c>
      <c r="W13" s="2" t="s">
        <v>199</v>
      </c>
      <c r="AV13" s="2">
        <v>80</v>
      </c>
    </row>
    <row r="14" spans="1:48" x14ac:dyDescent="0.25">
      <c r="A14" s="12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159</v>
      </c>
      <c r="Q14" s="2">
        <f t="shared" si="0"/>
        <v>160</v>
      </c>
      <c r="S14" s="30">
        <v>2280669</v>
      </c>
      <c r="T14" s="16"/>
      <c r="U14" s="9" t="s">
        <v>208</v>
      </c>
      <c r="W14" s="2" t="s">
        <v>199</v>
      </c>
      <c r="AV14" s="2">
        <v>80</v>
      </c>
    </row>
    <row r="15" spans="1:48" s="50" customFormat="1" x14ac:dyDescent="0.25">
      <c r="A15" s="46"/>
      <c r="B15" s="47"/>
      <c r="C15" s="48"/>
      <c r="D15" s="48"/>
      <c r="E15" s="49"/>
      <c r="F15" s="49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8"/>
      <c r="T15" s="47"/>
      <c r="U15" s="47"/>
      <c r="V15" s="47"/>
      <c r="W15" s="47" t="s">
        <v>199</v>
      </c>
      <c r="X15" s="48"/>
      <c r="AV15" s="47"/>
    </row>
    <row r="16" spans="1:48" x14ac:dyDescent="0.25">
      <c r="A16" s="12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159</v>
      </c>
      <c r="Q16" s="2">
        <f t="shared" si="0"/>
        <v>10</v>
      </c>
      <c r="S16" s="30">
        <v>2319152</v>
      </c>
      <c r="T16" s="16"/>
      <c r="U16" s="9" t="s">
        <v>212</v>
      </c>
      <c r="W16" s="2" t="s">
        <v>199</v>
      </c>
      <c r="AV16" s="2">
        <v>80</v>
      </c>
    </row>
    <row r="17" spans="1:48" x14ac:dyDescent="0.25">
      <c r="A17" s="12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159</v>
      </c>
      <c r="O17" s="4">
        <v>44718</v>
      </c>
      <c r="Q17" s="2">
        <f t="shared" si="0"/>
        <v>40</v>
      </c>
      <c r="S17" s="6" t="s">
        <v>263</v>
      </c>
      <c r="U17" s="36" t="s">
        <v>260</v>
      </c>
      <c r="W17" s="2" t="s">
        <v>199</v>
      </c>
      <c r="AV17" s="2">
        <v>80</v>
      </c>
    </row>
    <row r="18" spans="1:48" x14ac:dyDescent="0.25">
      <c r="A18" s="12" t="s">
        <v>42</v>
      </c>
      <c r="B18" s="2">
        <v>2</v>
      </c>
      <c r="C18" s="6" t="s">
        <v>43</v>
      </c>
      <c r="D18" s="6" t="s">
        <v>44</v>
      </c>
      <c r="E18" s="5" t="s">
        <v>281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159</v>
      </c>
      <c r="Q18" s="2">
        <f t="shared" si="0"/>
        <v>10</v>
      </c>
      <c r="S18" s="29">
        <v>1524157</v>
      </c>
      <c r="T18" s="34"/>
      <c r="U18" s="23" t="s">
        <v>213</v>
      </c>
      <c r="W18" s="2" t="s">
        <v>199</v>
      </c>
      <c r="AV18" s="2">
        <v>80</v>
      </c>
    </row>
    <row r="19" spans="1:48" x14ac:dyDescent="0.25">
      <c r="A19" s="12" t="s">
        <v>46</v>
      </c>
      <c r="B19" s="2">
        <v>1</v>
      </c>
      <c r="C19" s="6" t="s">
        <v>214</v>
      </c>
      <c r="D19" s="6" t="s">
        <v>166</v>
      </c>
      <c r="E19" s="5" t="s">
        <v>267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159</v>
      </c>
      <c r="Q19" s="2">
        <f t="shared" si="0"/>
        <v>180</v>
      </c>
      <c r="S19" s="29">
        <v>3796324</v>
      </c>
      <c r="T19" s="24"/>
      <c r="U19" s="23" t="s">
        <v>217</v>
      </c>
      <c r="W19" s="2" t="s">
        <v>199</v>
      </c>
      <c r="AV19" s="2">
        <v>80</v>
      </c>
    </row>
    <row r="20" spans="1:48" x14ac:dyDescent="0.25">
      <c r="A20" s="12" t="s">
        <v>49</v>
      </c>
      <c r="B20" s="2">
        <v>1</v>
      </c>
      <c r="C20" s="6" t="s">
        <v>215</v>
      </c>
      <c r="D20" s="6" t="s">
        <v>167</v>
      </c>
      <c r="E20" s="5" t="s">
        <v>267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159</v>
      </c>
      <c r="Q20" s="2">
        <f t="shared" si="0"/>
        <v>20</v>
      </c>
      <c r="S20" s="30">
        <v>2290332</v>
      </c>
      <c r="T20" s="10"/>
      <c r="U20" s="9" t="s">
        <v>218</v>
      </c>
      <c r="W20" s="2" t="s">
        <v>199</v>
      </c>
      <c r="AV20" s="2">
        <v>80</v>
      </c>
    </row>
    <row r="21" spans="1:48" x14ac:dyDescent="0.25">
      <c r="A21" s="12" t="s">
        <v>50</v>
      </c>
      <c r="B21" s="2">
        <v>2</v>
      </c>
      <c r="C21" s="6" t="s">
        <v>216</v>
      </c>
      <c r="D21" s="6" t="s">
        <v>47</v>
      </c>
      <c r="E21" s="5" t="s">
        <v>267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159</v>
      </c>
      <c r="Q21" s="2">
        <f t="shared" si="0"/>
        <v>10</v>
      </c>
      <c r="S21" s="37">
        <v>1581241</v>
      </c>
      <c r="T21" s="5"/>
      <c r="U21" t="s">
        <v>259</v>
      </c>
      <c r="W21" s="2" t="s">
        <v>199</v>
      </c>
      <c r="AV21" s="2">
        <v>80</v>
      </c>
    </row>
    <row r="22" spans="1:48" s="50" customFormat="1" x14ac:dyDescent="0.25">
      <c r="A22" s="46"/>
      <c r="B22" s="47"/>
      <c r="C22" s="48"/>
      <c r="D22" s="48"/>
      <c r="E22" s="49"/>
      <c r="F22" s="49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8"/>
      <c r="T22" s="47"/>
      <c r="U22" s="47"/>
      <c r="V22" s="47"/>
      <c r="W22" s="47" t="s">
        <v>199</v>
      </c>
      <c r="X22" s="48"/>
      <c r="AV22" s="47"/>
    </row>
    <row r="23" spans="1:48" x14ac:dyDescent="0.25">
      <c r="A23" s="12" t="s">
        <v>51</v>
      </c>
      <c r="B23" s="2">
        <v>8</v>
      </c>
      <c r="C23" s="6" t="s">
        <v>20</v>
      </c>
      <c r="D23" s="6" t="s">
        <v>20</v>
      </c>
      <c r="E23" s="10" t="s">
        <v>268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159</v>
      </c>
      <c r="Q23" s="2">
        <f t="shared" si="0"/>
        <v>30</v>
      </c>
      <c r="S23" s="26">
        <v>2069174</v>
      </c>
      <c r="T23" s="14"/>
      <c r="U23" s="15" t="s">
        <v>205</v>
      </c>
      <c r="V23" s="14"/>
      <c r="W23" s="14" t="s">
        <v>199</v>
      </c>
      <c r="X23" s="26"/>
      <c r="AV23" s="2">
        <v>80</v>
      </c>
    </row>
    <row r="24" spans="1:48" x14ac:dyDescent="0.25">
      <c r="A24" s="12" t="s">
        <v>53</v>
      </c>
      <c r="B24" s="2">
        <v>3</v>
      </c>
      <c r="C24" s="6" t="s">
        <v>54</v>
      </c>
      <c r="D24" s="6" t="s">
        <v>54</v>
      </c>
      <c r="E24" s="24" t="s">
        <v>269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159</v>
      </c>
      <c r="Q24" s="2">
        <f t="shared" si="0"/>
        <v>12</v>
      </c>
      <c r="S24" s="29">
        <v>2068675</v>
      </c>
      <c r="T24" s="34"/>
      <c r="U24" s="23" t="s">
        <v>206</v>
      </c>
      <c r="W24" s="2" t="s">
        <v>199</v>
      </c>
      <c r="AV24" s="2">
        <v>80</v>
      </c>
    </row>
    <row r="25" spans="1:48" s="50" customFormat="1" x14ac:dyDescent="0.25">
      <c r="A25" s="46"/>
      <c r="B25" s="47"/>
      <c r="C25" s="48"/>
      <c r="D25" s="48"/>
      <c r="E25" s="49"/>
      <c r="F25" s="49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7"/>
      <c r="U25" s="47"/>
      <c r="V25" s="47"/>
      <c r="W25" s="47" t="s">
        <v>199</v>
      </c>
      <c r="X25" s="48"/>
      <c r="AV25" s="47"/>
    </row>
    <row r="26" spans="1:48" x14ac:dyDescent="0.25">
      <c r="A26" s="12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159</v>
      </c>
      <c r="Q26" s="2">
        <f t="shared" si="0"/>
        <v>8</v>
      </c>
      <c r="S26" s="6">
        <v>1597013</v>
      </c>
      <c r="T26" s="5"/>
      <c r="U26" s="18" t="s">
        <v>219</v>
      </c>
      <c r="W26" s="2" t="s">
        <v>199</v>
      </c>
      <c r="AV26" s="2">
        <v>80</v>
      </c>
    </row>
    <row r="27" spans="1:48" s="50" customFormat="1" x14ac:dyDescent="0.25">
      <c r="A27" s="46"/>
      <c r="B27" s="47"/>
      <c r="C27" s="48"/>
      <c r="D27" s="48"/>
      <c r="E27" s="49"/>
      <c r="F27" s="49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8"/>
      <c r="T27" s="47"/>
      <c r="U27" s="47"/>
      <c r="V27" s="47"/>
      <c r="W27" s="47" t="s">
        <v>199</v>
      </c>
      <c r="X27" s="48"/>
      <c r="AV27" s="47"/>
    </row>
    <row r="28" spans="1:48" x14ac:dyDescent="0.25">
      <c r="A28" s="12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30" t="s">
        <v>220</v>
      </c>
      <c r="T28" s="10"/>
      <c r="U28" s="9" t="s">
        <v>221</v>
      </c>
      <c r="W28" s="2" t="s">
        <v>199</v>
      </c>
      <c r="AV28" s="2">
        <v>80</v>
      </c>
    </row>
    <row r="29" spans="1:48" s="50" customFormat="1" x14ac:dyDescent="0.25">
      <c r="A29" s="46"/>
      <c r="B29" s="47"/>
      <c r="C29" s="48"/>
      <c r="D29" s="48"/>
      <c r="E29" s="49"/>
      <c r="F29" s="49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7"/>
      <c r="U29" s="47"/>
      <c r="V29" s="47"/>
      <c r="W29" s="47" t="s">
        <v>199</v>
      </c>
      <c r="X29" s="48"/>
      <c r="AV29" s="47"/>
    </row>
    <row r="30" spans="1:48" x14ac:dyDescent="0.25">
      <c r="I30" s="2">
        <f>B30*AV30</f>
        <v>0</v>
      </c>
      <c r="Q30" s="2">
        <f t="shared" si="0"/>
        <v>0</v>
      </c>
      <c r="W30" s="2" t="s">
        <v>199</v>
      </c>
      <c r="AV30" s="2">
        <v>80</v>
      </c>
    </row>
    <row r="31" spans="1:48" x14ac:dyDescent="0.25">
      <c r="A31" s="13" t="s">
        <v>170</v>
      </c>
      <c r="W31" s="2" t="s">
        <v>199</v>
      </c>
    </row>
    <row r="32" spans="1:48" x14ac:dyDescent="0.25">
      <c r="A32" s="12" t="s">
        <v>83</v>
      </c>
      <c r="B32" s="2">
        <v>1</v>
      </c>
      <c r="C32" s="6" t="s">
        <v>187</v>
      </c>
      <c r="D32" s="6" t="s">
        <v>65</v>
      </c>
      <c r="E32" s="5" t="s">
        <v>66</v>
      </c>
      <c r="F32" s="5" t="s">
        <v>272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159</v>
      </c>
      <c r="Q32" s="2">
        <f>J32-I32</f>
        <v>20</v>
      </c>
      <c r="S32" s="6">
        <v>1022248</v>
      </c>
      <c r="T32" s="5"/>
      <c r="U32" s="18" t="s">
        <v>223</v>
      </c>
      <c r="W32" s="2" t="s">
        <v>199</v>
      </c>
      <c r="AV32" s="2">
        <v>80</v>
      </c>
    </row>
    <row r="33" spans="1:48" x14ac:dyDescent="0.25">
      <c r="A33" s="12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272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159</v>
      </c>
      <c r="Q33" s="2">
        <f>J33-I33</f>
        <v>20</v>
      </c>
      <c r="S33" s="6">
        <v>1022262</v>
      </c>
      <c r="T33" s="5"/>
      <c r="U33" s="18" t="s">
        <v>224</v>
      </c>
      <c r="W33" s="2" t="s">
        <v>199</v>
      </c>
      <c r="AV33" s="2">
        <v>80</v>
      </c>
    </row>
    <row r="34" spans="1:48" x14ac:dyDescent="0.25">
      <c r="A34" s="12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272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159</v>
      </c>
      <c r="Q34" s="2">
        <f>J34-I34</f>
        <v>20</v>
      </c>
      <c r="S34" s="6">
        <v>1593469</v>
      </c>
      <c r="T34" s="5"/>
      <c r="U34" s="18" t="s">
        <v>225</v>
      </c>
      <c r="W34" s="2" t="s">
        <v>199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199</v>
      </c>
    </row>
    <row r="36" spans="1:48" x14ac:dyDescent="0.25">
      <c r="A36" s="13" t="s">
        <v>169</v>
      </c>
      <c r="I36" s="2">
        <f>B36*AV36</f>
        <v>0</v>
      </c>
      <c r="Q36" s="2">
        <f t="shared" si="3"/>
        <v>0</v>
      </c>
      <c r="W36" s="2" t="s">
        <v>199</v>
      </c>
      <c r="AV36" s="2">
        <v>80</v>
      </c>
    </row>
    <row r="37" spans="1:48" x14ac:dyDescent="0.25">
      <c r="A37" s="12" t="s">
        <v>171</v>
      </c>
      <c r="B37" s="2">
        <v>3</v>
      </c>
      <c r="C37" s="6" t="s">
        <v>186</v>
      </c>
      <c r="D37" s="6" t="s">
        <v>63</v>
      </c>
      <c r="E37" s="5" t="s">
        <v>64</v>
      </c>
      <c r="F37" s="5" t="s">
        <v>270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159</v>
      </c>
      <c r="Q37" s="2">
        <f>J37-I37</f>
        <v>12</v>
      </c>
      <c r="S37" s="30">
        <v>9731679</v>
      </c>
      <c r="T37" s="10"/>
      <c r="U37" s="9" t="s">
        <v>222</v>
      </c>
      <c r="W37" s="2" t="s">
        <v>199</v>
      </c>
      <c r="AV37" s="2">
        <v>80</v>
      </c>
    </row>
    <row r="38" spans="1:48" x14ac:dyDescent="0.25">
      <c r="A38" s="12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226</v>
      </c>
      <c r="T38" s="5"/>
      <c r="U38" s="18" t="s">
        <v>227</v>
      </c>
      <c r="W38" s="2" t="s">
        <v>199</v>
      </c>
      <c r="AV38" s="2">
        <v>80</v>
      </c>
    </row>
    <row r="39" spans="1:48" x14ac:dyDescent="0.25">
      <c r="A39" s="12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159</v>
      </c>
      <c r="Q39" s="2">
        <f>J39-I39</f>
        <v>20</v>
      </c>
      <c r="S39" s="6">
        <v>2784974</v>
      </c>
      <c r="T39" s="5"/>
      <c r="U39" s="18" t="s">
        <v>228</v>
      </c>
      <c r="W39" s="2" t="s">
        <v>199</v>
      </c>
      <c r="AV39" s="2">
        <v>80</v>
      </c>
    </row>
    <row r="40" spans="1:48" x14ac:dyDescent="0.25">
      <c r="A40" s="12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159</v>
      </c>
      <c r="Q40" s="2">
        <f>J40-I40</f>
        <v>10</v>
      </c>
      <c r="S40" s="6">
        <v>2293774</v>
      </c>
      <c r="T40" s="5"/>
      <c r="U40" s="18" t="s">
        <v>229</v>
      </c>
      <c r="W40" s="2" t="s">
        <v>199</v>
      </c>
      <c r="AV40" s="2">
        <v>80</v>
      </c>
    </row>
    <row r="41" spans="1:48" x14ac:dyDescent="0.25">
      <c r="A41" s="12" t="s">
        <v>174</v>
      </c>
      <c r="B41" s="2">
        <v>4</v>
      </c>
      <c r="C41" s="6" t="s">
        <v>188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159</v>
      </c>
      <c r="Q41" s="2">
        <f t="shared" si="3"/>
        <v>15</v>
      </c>
      <c r="S41" s="6">
        <v>2008019</v>
      </c>
      <c r="T41" s="5"/>
      <c r="U41" s="18" t="s">
        <v>230</v>
      </c>
      <c r="W41" s="2" t="s">
        <v>199</v>
      </c>
      <c r="AV41" s="2">
        <v>80</v>
      </c>
    </row>
    <row r="42" spans="1:48" x14ac:dyDescent="0.25">
      <c r="A42" s="12" t="s">
        <v>175</v>
      </c>
      <c r="B42" s="2">
        <v>2</v>
      </c>
      <c r="C42" s="6" t="s">
        <v>189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159</v>
      </c>
      <c r="Q42" s="2">
        <f t="shared" si="3"/>
        <v>10</v>
      </c>
      <c r="S42" s="6">
        <v>2008020</v>
      </c>
      <c r="T42" s="5"/>
      <c r="U42" s="18" t="s">
        <v>231</v>
      </c>
      <c r="W42" s="2" t="s">
        <v>199</v>
      </c>
      <c r="AV42" s="2">
        <v>80</v>
      </c>
    </row>
    <row r="43" spans="1:48" x14ac:dyDescent="0.25">
      <c r="A43" s="12" t="s">
        <v>176</v>
      </c>
      <c r="B43" s="2">
        <v>3</v>
      </c>
      <c r="C43" s="6" t="s">
        <v>190</v>
      </c>
      <c r="D43" s="6">
        <v>1462926</v>
      </c>
      <c r="E43" s="5" t="s">
        <v>273</v>
      </c>
      <c r="F43" s="5" t="s">
        <v>274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159</v>
      </c>
      <c r="Q43" s="2">
        <f>J43-I43</f>
        <v>10</v>
      </c>
      <c r="S43" s="6">
        <v>1462926</v>
      </c>
      <c r="T43" s="5"/>
      <c r="U43" s="18" t="s">
        <v>232</v>
      </c>
      <c r="W43" s="2" t="s">
        <v>199</v>
      </c>
      <c r="AV43" s="2">
        <v>80</v>
      </c>
    </row>
    <row r="44" spans="1:48" x14ac:dyDescent="0.25">
      <c r="A44" s="5" t="s">
        <v>177</v>
      </c>
      <c r="B44" s="7">
        <v>3</v>
      </c>
      <c r="C44" s="6" t="s">
        <v>191</v>
      </c>
      <c r="D44" s="6">
        <v>1462950</v>
      </c>
      <c r="E44" s="5" t="s">
        <v>66</v>
      </c>
      <c r="F44" s="5" t="s">
        <v>271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159</v>
      </c>
      <c r="Q44" s="2">
        <f>J44-I44</f>
        <v>10</v>
      </c>
      <c r="S44" s="6">
        <v>1462950</v>
      </c>
      <c r="T44" s="5"/>
      <c r="U44" s="18" t="s">
        <v>233</v>
      </c>
      <c r="W44" s="2" t="s">
        <v>199</v>
      </c>
      <c r="AV44" s="2">
        <v>80</v>
      </c>
    </row>
    <row r="45" spans="1:48" x14ac:dyDescent="0.25">
      <c r="A45" s="12" t="s">
        <v>82</v>
      </c>
      <c r="B45" s="2">
        <v>1</v>
      </c>
      <c r="C45" s="6" t="s">
        <v>192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235</v>
      </c>
      <c r="T45" s="5"/>
      <c r="U45" s="18" t="s">
        <v>234</v>
      </c>
      <c r="W45" s="2" t="s">
        <v>199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199</v>
      </c>
      <c r="AV46" s="2">
        <v>80</v>
      </c>
    </row>
    <row r="47" spans="1:48" s="50" customFormat="1" x14ac:dyDescent="0.25">
      <c r="A47" s="46"/>
      <c r="B47" s="47"/>
      <c r="C47" s="48"/>
      <c r="D47" s="48"/>
      <c r="E47" s="49"/>
      <c r="F47" s="49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8"/>
      <c r="T47" s="47"/>
      <c r="U47" s="47"/>
      <c r="V47" s="47"/>
      <c r="W47" s="47" t="s">
        <v>199</v>
      </c>
      <c r="X47" s="48"/>
      <c r="AV47" s="47"/>
    </row>
    <row r="48" spans="1:48" x14ac:dyDescent="0.25">
      <c r="A48" s="12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159</v>
      </c>
      <c r="Q48" s="2">
        <f t="shared" si="3"/>
        <v>20</v>
      </c>
      <c r="S48" s="6">
        <v>8648255</v>
      </c>
      <c r="T48" s="5"/>
      <c r="U48" s="18" t="s">
        <v>236</v>
      </c>
      <c r="W48" s="2" t="s">
        <v>199</v>
      </c>
      <c r="AV48" s="2">
        <v>80</v>
      </c>
    </row>
    <row r="49" spans="1:48" s="50" customFormat="1" x14ac:dyDescent="0.25">
      <c r="A49" s="46"/>
      <c r="B49" s="47"/>
      <c r="C49" s="48"/>
      <c r="D49" s="48"/>
      <c r="E49" s="49"/>
      <c r="F49" s="49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/>
      <c r="T49" s="47"/>
      <c r="U49" s="47"/>
      <c r="V49" s="47"/>
      <c r="W49" s="47" t="s">
        <v>199</v>
      </c>
      <c r="X49" s="48"/>
      <c r="AV49" s="47"/>
    </row>
    <row r="50" spans="1:48" x14ac:dyDescent="0.25">
      <c r="A50" s="12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159</v>
      </c>
      <c r="Q50" s="2">
        <f t="shared" si="3"/>
        <v>40</v>
      </c>
      <c r="S50" s="6">
        <v>1576464</v>
      </c>
      <c r="T50" s="5"/>
      <c r="U50" s="18" t="s">
        <v>238</v>
      </c>
      <c r="W50" s="2" t="s">
        <v>199</v>
      </c>
      <c r="AV50" s="2">
        <v>80</v>
      </c>
    </row>
    <row r="51" spans="1:48" x14ac:dyDescent="0.25">
      <c r="A51" s="12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193</v>
      </c>
      <c r="O51" s="2" t="s">
        <v>193</v>
      </c>
      <c r="Q51" s="2">
        <f t="shared" si="3"/>
        <v>30</v>
      </c>
      <c r="S51" s="6">
        <v>1576452</v>
      </c>
      <c r="T51" s="5"/>
      <c r="U51" s="18" t="s">
        <v>239</v>
      </c>
      <c r="W51" s="2" t="s">
        <v>199</v>
      </c>
      <c r="AV51" s="2">
        <v>80</v>
      </c>
    </row>
    <row r="52" spans="1:48" x14ac:dyDescent="0.25">
      <c r="A52" s="12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159</v>
      </c>
      <c r="Q52" s="2">
        <f t="shared" si="3"/>
        <v>10</v>
      </c>
      <c r="S52" s="6">
        <v>2861558</v>
      </c>
      <c r="T52" s="5"/>
      <c r="U52" s="18" t="s">
        <v>240</v>
      </c>
      <c r="W52" s="2" t="s">
        <v>199</v>
      </c>
      <c r="AV52" s="2">
        <v>80</v>
      </c>
    </row>
    <row r="53" spans="1:48" x14ac:dyDescent="0.25">
      <c r="A53" s="12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159</v>
      </c>
      <c r="Q53" s="2">
        <f t="shared" si="3"/>
        <v>80</v>
      </c>
      <c r="S53" s="6">
        <v>2332071</v>
      </c>
      <c r="T53" s="5"/>
      <c r="U53" s="18" t="s">
        <v>241</v>
      </c>
      <c r="W53" s="2" t="s">
        <v>199</v>
      </c>
      <c r="AV53" s="2">
        <v>80</v>
      </c>
    </row>
    <row r="54" spans="1:48" x14ac:dyDescent="0.25">
      <c r="A54" s="12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159</v>
      </c>
      <c r="Q54" s="2">
        <f t="shared" si="3"/>
        <v>10</v>
      </c>
      <c r="S54" s="6">
        <v>2670094</v>
      </c>
      <c r="T54" s="5"/>
      <c r="U54" s="18" t="s">
        <v>242</v>
      </c>
      <c r="W54" s="2" t="s">
        <v>199</v>
      </c>
      <c r="AV54" s="2">
        <v>80</v>
      </c>
    </row>
    <row r="55" spans="1:48" x14ac:dyDescent="0.25">
      <c r="A55" s="12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159</v>
      </c>
      <c r="Q55" s="2">
        <f t="shared" ref="Q55:Q74" si="6">J55-I55</f>
        <v>180</v>
      </c>
      <c r="S55" s="6" t="s">
        <v>237</v>
      </c>
      <c r="T55" s="5"/>
      <c r="U55" s="18" t="s">
        <v>243</v>
      </c>
      <c r="W55" s="2" t="s">
        <v>199</v>
      </c>
      <c r="AV55" s="2">
        <v>80</v>
      </c>
    </row>
    <row r="56" spans="1:48" x14ac:dyDescent="0.25">
      <c r="A56" s="12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159</v>
      </c>
      <c r="Q56" s="2">
        <f t="shared" si="6"/>
        <v>20</v>
      </c>
      <c r="S56" s="6">
        <v>2447627</v>
      </c>
      <c r="T56" s="5"/>
      <c r="U56" s="18" t="s">
        <v>244</v>
      </c>
      <c r="W56" s="2" t="s">
        <v>199</v>
      </c>
      <c r="AV56" s="2">
        <v>80</v>
      </c>
    </row>
    <row r="57" spans="1:48" s="50" customFormat="1" x14ac:dyDescent="0.25">
      <c r="A57" s="46"/>
      <c r="B57" s="47"/>
      <c r="C57" s="48"/>
      <c r="D57" s="48"/>
      <c r="E57" s="49"/>
      <c r="F57" s="49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8"/>
      <c r="T57" s="47"/>
      <c r="U57" s="47"/>
      <c r="V57" s="47"/>
      <c r="W57" s="47" t="s">
        <v>199</v>
      </c>
      <c r="X57" s="48"/>
      <c r="AV57" s="47"/>
    </row>
    <row r="58" spans="1:48" x14ac:dyDescent="0.25">
      <c r="A58" s="12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8" t="s">
        <v>246</v>
      </c>
      <c r="W58" s="2" t="s">
        <v>199</v>
      </c>
      <c r="AV58" s="2">
        <v>80</v>
      </c>
    </row>
    <row r="59" spans="1:48" x14ac:dyDescent="0.25">
      <c r="A59" s="12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159</v>
      </c>
      <c r="Q59" s="2">
        <f t="shared" si="6"/>
        <v>10</v>
      </c>
      <c r="S59" s="6" t="s">
        <v>245</v>
      </c>
      <c r="T59" s="5"/>
      <c r="U59" s="18" t="s">
        <v>247</v>
      </c>
      <c r="W59" s="2" t="s">
        <v>199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50" customFormat="1" x14ac:dyDescent="0.25">
      <c r="A61" s="46"/>
      <c r="B61" s="47"/>
      <c r="C61" s="48"/>
      <c r="D61" s="48"/>
      <c r="E61" s="49"/>
      <c r="F61" s="49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8"/>
      <c r="T61" s="47"/>
      <c r="U61" s="47"/>
      <c r="V61" s="47"/>
      <c r="W61" s="47"/>
      <c r="X61" s="48"/>
      <c r="AV61" s="47"/>
    </row>
    <row r="62" spans="1:48" ht="15.75" thickBot="1" x14ac:dyDescent="0.3">
      <c r="A62" s="12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159</v>
      </c>
      <c r="Q62" s="2">
        <f t="shared" si="6"/>
        <v>20</v>
      </c>
      <c r="S62" s="6" t="s">
        <v>248</v>
      </c>
      <c r="T62" s="5"/>
      <c r="U62" s="18" t="s">
        <v>249</v>
      </c>
      <c r="W62" s="2" t="s">
        <v>199</v>
      </c>
      <c r="AV62" s="2">
        <v>80</v>
      </c>
    </row>
    <row r="63" spans="1:48" s="22" customFormat="1" ht="16.5" thickTop="1" thickBot="1" x14ac:dyDescent="0.3">
      <c r="A63" s="39" t="s">
        <v>117</v>
      </c>
      <c r="B63" s="40">
        <v>2</v>
      </c>
      <c r="C63" s="41" t="s">
        <v>118</v>
      </c>
      <c r="D63" s="41" t="s">
        <v>118</v>
      </c>
      <c r="E63" s="42" t="s">
        <v>119</v>
      </c>
      <c r="F63" s="42" t="s">
        <v>120</v>
      </c>
      <c r="G63" s="40"/>
      <c r="H63" s="40"/>
      <c r="I63" s="40">
        <f t="shared" si="7"/>
        <v>160</v>
      </c>
      <c r="J63" s="20">
        <v>0</v>
      </c>
      <c r="K63" s="20" t="s">
        <v>183</v>
      </c>
      <c r="L63" s="20"/>
      <c r="M63" s="20" t="s">
        <v>159</v>
      </c>
      <c r="N63" s="20" t="s">
        <v>159</v>
      </c>
      <c r="O63" s="20" t="s">
        <v>195</v>
      </c>
      <c r="P63" s="20"/>
      <c r="Q63" s="43"/>
      <c r="R63" s="44"/>
      <c r="S63" s="45"/>
      <c r="W63" s="22" t="s">
        <v>199</v>
      </c>
      <c r="X63" s="54"/>
      <c r="AV63" s="20">
        <v>80</v>
      </c>
    </row>
    <row r="64" spans="1:48" ht="15.75" thickTop="1" x14ac:dyDescent="0.25">
      <c r="A64" s="12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159</v>
      </c>
      <c r="O64" s="4">
        <v>44955</v>
      </c>
      <c r="Q64" s="2">
        <f t="shared" si="6"/>
        <v>10</v>
      </c>
      <c r="S64" s="6">
        <v>1201297</v>
      </c>
      <c r="T64" s="5"/>
      <c r="U64" s="18" t="s">
        <v>250</v>
      </c>
      <c r="V64" s="35"/>
      <c r="W64" s="7" t="s">
        <v>199</v>
      </c>
      <c r="X64" s="55" t="s">
        <v>277</v>
      </c>
      <c r="AV64" s="2">
        <v>80</v>
      </c>
    </row>
    <row r="65" spans="1:48" x14ac:dyDescent="0.25">
      <c r="A65" s="12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159</v>
      </c>
      <c r="Q65" s="2">
        <f t="shared" si="6"/>
        <v>20</v>
      </c>
      <c r="S65" s="6">
        <v>1201295</v>
      </c>
      <c r="T65" s="5"/>
      <c r="U65" s="18" t="s">
        <v>251</v>
      </c>
      <c r="W65" s="2" t="s">
        <v>199</v>
      </c>
      <c r="AV65" s="2">
        <v>80</v>
      </c>
    </row>
    <row r="66" spans="1:48" x14ac:dyDescent="0.25">
      <c r="A66" s="12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159</v>
      </c>
      <c r="Q66" s="2">
        <f t="shared" si="6"/>
        <v>20</v>
      </c>
      <c r="S66" s="6">
        <v>1085290</v>
      </c>
      <c r="T66" s="5"/>
      <c r="U66" s="18" t="s">
        <v>252</v>
      </c>
      <c r="W66" s="2" t="s">
        <v>199</v>
      </c>
      <c r="AV66" s="2">
        <v>80</v>
      </c>
    </row>
    <row r="67" spans="1:48" x14ac:dyDescent="0.25">
      <c r="A67" s="12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159</v>
      </c>
      <c r="Q67" s="2">
        <f t="shared" si="6"/>
        <v>10</v>
      </c>
      <c r="S67" s="6">
        <v>1085331</v>
      </c>
      <c r="T67" s="5"/>
      <c r="U67" s="18" t="s">
        <v>253</v>
      </c>
      <c r="W67" s="2" t="s">
        <v>199</v>
      </c>
      <c r="AV67" s="2">
        <v>80</v>
      </c>
    </row>
    <row r="68" spans="1:48" x14ac:dyDescent="0.25">
      <c r="A68" s="12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159</v>
      </c>
      <c r="Q68" s="2">
        <f t="shared" si="6"/>
        <v>12</v>
      </c>
      <c r="S68" s="6">
        <v>2774608</v>
      </c>
      <c r="U68" s="18" t="s">
        <v>254</v>
      </c>
      <c r="W68" s="2" t="s">
        <v>199</v>
      </c>
      <c r="AV68" s="2">
        <v>80</v>
      </c>
    </row>
    <row r="69" spans="1:48" x14ac:dyDescent="0.25">
      <c r="A69" s="12" t="s">
        <v>278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159</v>
      </c>
      <c r="Q69" s="2">
        <f t="shared" si="6"/>
        <v>-76</v>
      </c>
      <c r="S69" s="6" t="s">
        <v>261</v>
      </c>
      <c r="U69" s="6" t="s">
        <v>262</v>
      </c>
      <c r="W69" s="2" t="s">
        <v>199</v>
      </c>
      <c r="AV69" s="2">
        <v>80</v>
      </c>
    </row>
    <row r="70" spans="1:48" s="22" customFormat="1" x14ac:dyDescent="0.25">
      <c r="A70" s="19" t="s">
        <v>139</v>
      </c>
      <c r="B70" s="20">
        <v>1</v>
      </c>
      <c r="C70" s="31" t="s">
        <v>140</v>
      </c>
      <c r="D70" s="31" t="s">
        <v>140</v>
      </c>
      <c r="E70" s="38" t="s">
        <v>141</v>
      </c>
      <c r="F70" s="21" t="s">
        <v>142</v>
      </c>
      <c r="G70" s="20"/>
      <c r="H70" s="20"/>
      <c r="I70" s="20">
        <f t="shared" si="7"/>
        <v>80</v>
      </c>
      <c r="J70" s="20">
        <v>0</v>
      </c>
      <c r="K70" s="20"/>
      <c r="L70" s="20"/>
      <c r="M70" s="20" t="s">
        <v>159</v>
      </c>
      <c r="N70" s="20" t="s">
        <v>159</v>
      </c>
      <c r="O70" s="20" t="s">
        <v>194</v>
      </c>
      <c r="P70" s="20"/>
      <c r="Q70" s="20"/>
      <c r="R70" s="20"/>
      <c r="S70" s="31"/>
      <c r="T70" s="20"/>
      <c r="U70" s="20"/>
      <c r="V70" s="20"/>
      <c r="W70" s="20" t="s">
        <v>199</v>
      </c>
      <c r="X70" s="31"/>
      <c r="AV70" s="20">
        <v>80</v>
      </c>
    </row>
    <row r="71" spans="1:48" x14ac:dyDescent="0.25">
      <c r="A71" s="12" t="s">
        <v>143</v>
      </c>
      <c r="B71" s="2">
        <v>3</v>
      </c>
      <c r="C71" s="6" t="s">
        <v>144</v>
      </c>
      <c r="D71" s="6" t="s">
        <v>144</v>
      </c>
      <c r="E71" s="6" t="s">
        <v>275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255</v>
      </c>
      <c r="T71" s="5"/>
      <c r="U71" s="18" t="s">
        <v>256</v>
      </c>
      <c r="W71" s="2" t="s">
        <v>199</v>
      </c>
      <c r="AV71" s="2">
        <v>80</v>
      </c>
    </row>
    <row r="72" spans="1:48" s="50" customFormat="1" x14ac:dyDescent="0.25">
      <c r="A72" s="46"/>
      <c r="B72" s="47"/>
      <c r="C72" s="48"/>
      <c r="D72" s="48"/>
      <c r="E72" s="49"/>
      <c r="F72" s="49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8"/>
      <c r="T72" s="47"/>
      <c r="U72" s="47"/>
      <c r="V72" s="47"/>
      <c r="W72" s="47" t="s">
        <v>199</v>
      </c>
      <c r="X72" s="48"/>
      <c r="AV72" s="47"/>
    </row>
    <row r="73" spans="1:48" x14ac:dyDescent="0.25">
      <c r="A73" s="12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159</v>
      </c>
      <c r="Q73" s="2">
        <f t="shared" si="6"/>
        <v>10</v>
      </c>
      <c r="S73" s="6">
        <v>2467903</v>
      </c>
      <c r="U73" s="56" t="s">
        <v>264</v>
      </c>
      <c r="W73" s="2" t="s">
        <v>199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199</v>
      </c>
      <c r="AV74" s="2">
        <v>80</v>
      </c>
    </row>
    <row r="75" spans="1:48" s="50" customFormat="1" x14ac:dyDescent="0.25">
      <c r="A75" s="46"/>
      <c r="B75" s="47"/>
      <c r="C75" s="48"/>
      <c r="D75" s="48"/>
      <c r="E75" s="49"/>
      <c r="F75" s="49"/>
      <c r="G75" s="47"/>
      <c r="H75" s="47"/>
      <c r="I75" s="47">
        <f t="shared" si="8"/>
        <v>0</v>
      </c>
      <c r="J75" s="47"/>
      <c r="K75" s="47"/>
      <c r="L75" s="47"/>
      <c r="M75" s="47"/>
      <c r="N75" s="47"/>
      <c r="O75" s="47"/>
      <c r="P75" s="47"/>
      <c r="Q75" s="47"/>
      <c r="R75" s="47"/>
      <c r="S75" s="48"/>
      <c r="T75" s="47"/>
      <c r="U75" s="47"/>
      <c r="V75" s="47"/>
      <c r="W75" s="47"/>
      <c r="X75" s="48"/>
      <c r="AV75" s="47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E77" s="5" t="s">
        <v>282</v>
      </c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E79" s="5" t="s">
        <v>283</v>
      </c>
      <c r="I79" s="2">
        <f t="shared" si="8"/>
        <v>0</v>
      </c>
      <c r="AV79" s="2">
        <v>80</v>
      </c>
    </row>
    <row r="80" spans="1:48" x14ac:dyDescent="0.25">
      <c r="E80" s="5" t="s">
        <v>284</v>
      </c>
      <c r="I80" s="2">
        <f t="shared" si="8"/>
        <v>0</v>
      </c>
      <c r="AV80" s="2">
        <v>80</v>
      </c>
    </row>
    <row r="81" spans="5:48" x14ac:dyDescent="0.25">
      <c r="E81" s="5" t="s">
        <v>285</v>
      </c>
      <c r="I81" s="2">
        <f t="shared" si="8"/>
        <v>0</v>
      </c>
      <c r="AV81" s="2">
        <v>80</v>
      </c>
    </row>
    <row r="82" spans="5:48" x14ac:dyDescent="0.25">
      <c r="E82" s="5" t="s">
        <v>286</v>
      </c>
      <c r="I82" s="2">
        <f t="shared" si="8"/>
        <v>0</v>
      </c>
    </row>
    <row r="83" spans="5:48" x14ac:dyDescent="0.25">
      <c r="I83" s="2">
        <f t="shared" si="8"/>
        <v>0</v>
      </c>
    </row>
    <row r="84" spans="5:48" x14ac:dyDescent="0.25">
      <c r="I84" s="2">
        <f t="shared" si="8"/>
        <v>0</v>
      </c>
    </row>
    <row r="85" spans="5:48" x14ac:dyDescent="0.25">
      <c r="E85" s="5" t="s">
        <v>287</v>
      </c>
    </row>
  </sheetData>
  <conditionalFormatting sqref="O16 O18:O20 O26 M17:O17 M1:O15 M46:O47 M21:O25 O39:O44 M49:O49 O48 M57:O57 O52:O56 M60:O61 O58:O59 M63:O63 O62 M74:O1048576 O64:O70 O72:O73 M51:O51 O50 M27:O30 M32:O37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orientation="portrait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dcterms:created xsi:type="dcterms:W3CDTF">2022-05-04T14:37:04Z</dcterms:created>
  <dcterms:modified xsi:type="dcterms:W3CDTF">2022-05-11T16:30:58Z</dcterms:modified>
</cp:coreProperties>
</file>