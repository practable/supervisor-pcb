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P44" i="1" l="1"/>
  <c r="H34" i="1" l="1"/>
  <c r="P34" i="1" s="1"/>
  <c r="H33" i="1"/>
  <c r="P33" i="1" s="1"/>
  <c r="H43" i="1" l="1"/>
  <c r="P43" i="1" s="1"/>
  <c r="H44" i="1"/>
  <c r="H4" i="1"/>
  <c r="P4" i="1" s="1"/>
  <c r="H5" i="1"/>
  <c r="P5" i="1" s="1"/>
  <c r="H6" i="1"/>
  <c r="P6" i="1" s="1"/>
  <c r="H7" i="1"/>
  <c r="P7" i="1" s="1"/>
  <c r="H8" i="1"/>
  <c r="P8" i="1" s="1"/>
  <c r="H9" i="1"/>
  <c r="P9" i="1" s="1"/>
  <c r="H10" i="1"/>
  <c r="P10" i="1" s="1"/>
  <c r="H11" i="1"/>
  <c r="P11" i="1" s="1"/>
  <c r="H12" i="1"/>
  <c r="P12" i="1" s="1"/>
  <c r="H13" i="1"/>
  <c r="P13" i="1" s="1"/>
  <c r="H14" i="1"/>
  <c r="P14" i="1" s="1"/>
  <c r="H15" i="1"/>
  <c r="P15" i="1" s="1"/>
  <c r="H16" i="1"/>
  <c r="P16" i="1" s="1"/>
  <c r="H17" i="1"/>
  <c r="P17" i="1" s="1"/>
  <c r="H18" i="1"/>
  <c r="P18" i="1" s="1"/>
  <c r="H19" i="1"/>
  <c r="P19" i="1" s="1"/>
  <c r="H20" i="1"/>
  <c r="P20" i="1" s="1"/>
  <c r="H21" i="1"/>
  <c r="P21" i="1" s="1"/>
  <c r="H22" i="1"/>
  <c r="P22" i="1" s="1"/>
  <c r="H23" i="1"/>
  <c r="P23" i="1" s="1"/>
  <c r="H24" i="1"/>
  <c r="P24" i="1" s="1"/>
  <c r="H25" i="1"/>
  <c r="P25" i="1" s="1"/>
  <c r="H26" i="1"/>
  <c r="P26" i="1" s="1"/>
  <c r="H27" i="1"/>
  <c r="P27" i="1" s="1"/>
  <c r="H28" i="1"/>
  <c r="P28" i="1" s="1"/>
  <c r="H30" i="1"/>
  <c r="P30" i="1" s="1"/>
  <c r="H31" i="1"/>
  <c r="P31" i="1" s="1"/>
  <c r="H38" i="1"/>
  <c r="P38" i="1" s="1"/>
  <c r="H39" i="1"/>
  <c r="P39" i="1" s="1"/>
  <c r="H40" i="1"/>
  <c r="P40" i="1" s="1"/>
  <c r="H35" i="1"/>
  <c r="P35" i="1" s="1"/>
  <c r="H36" i="1"/>
  <c r="P36" i="1" s="1"/>
  <c r="H37" i="1"/>
  <c r="P37" i="1" s="1"/>
  <c r="H41" i="1"/>
  <c r="P41" i="1" s="1"/>
  <c r="H42" i="1"/>
  <c r="P42" i="1" s="1"/>
  <c r="H45" i="1"/>
  <c r="P45" i="1" s="1"/>
  <c r="H46" i="1"/>
  <c r="P46" i="1" s="1"/>
  <c r="H32" i="1"/>
  <c r="P32" i="1" s="1"/>
  <c r="H47" i="1"/>
  <c r="P47" i="1" s="1"/>
  <c r="H48" i="1"/>
  <c r="P48" i="1" s="1"/>
  <c r="H49" i="1"/>
  <c r="P49" i="1" s="1"/>
  <c r="H50" i="1"/>
  <c r="P50" i="1" s="1"/>
  <c r="H51" i="1"/>
  <c r="P51" i="1" s="1"/>
  <c r="H52" i="1"/>
  <c r="P52" i="1" s="1"/>
  <c r="H53" i="1"/>
  <c r="P53" i="1" s="1"/>
  <c r="H54" i="1"/>
  <c r="P54" i="1" s="1"/>
  <c r="H55" i="1"/>
  <c r="P55" i="1" s="1"/>
  <c r="H56" i="1"/>
  <c r="P56" i="1" s="1"/>
  <c r="H57" i="1"/>
  <c r="P57" i="1" s="1"/>
  <c r="H58" i="1"/>
  <c r="P58" i="1" s="1"/>
  <c r="H59" i="1"/>
  <c r="P59" i="1" s="1"/>
  <c r="H60" i="1"/>
  <c r="P60" i="1" s="1"/>
  <c r="H61" i="1"/>
  <c r="P61" i="1" s="1"/>
  <c r="H62" i="1"/>
  <c r="P62" i="1" s="1"/>
  <c r="H63" i="1"/>
  <c r="H64" i="1"/>
  <c r="P64" i="1" s="1"/>
  <c r="H65" i="1"/>
  <c r="P65" i="1" s="1"/>
  <c r="H66" i="1"/>
  <c r="P66" i="1" s="1"/>
  <c r="H67" i="1"/>
  <c r="P67" i="1" s="1"/>
  <c r="H68" i="1"/>
  <c r="P68" i="1" s="1"/>
  <c r="H69" i="1"/>
  <c r="P69" i="1" s="1"/>
  <c r="H70" i="1"/>
  <c r="H71" i="1"/>
  <c r="P71" i="1" s="1"/>
  <c r="H72" i="1"/>
  <c r="P72" i="1" s="1"/>
  <c r="H73" i="1"/>
  <c r="P73" i="1" s="1"/>
  <c r="H74" i="1"/>
  <c r="P74" i="1" s="1"/>
  <c r="H75" i="1"/>
  <c r="H76" i="1"/>
  <c r="H77" i="1"/>
  <c r="H78" i="1"/>
  <c r="H79" i="1"/>
  <c r="H80" i="1"/>
  <c r="H81" i="1"/>
  <c r="H82" i="1"/>
  <c r="H83" i="1"/>
  <c r="H84" i="1"/>
  <c r="H3" i="1"/>
  <c r="P3" i="1" s="1"/>
</calcChain>
</file>

<file path=xl/sharedStrings.xml><?xml version="1.0" encoding="utf-8"?>
<sst xmlns="http://schemas.openxmlformats.org/spreadsheetml/2006/main" count="433" uniqueCount="209">
  <si>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</si>
  <si>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</si>
  <si>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</si>
  <si>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</si>
  <si>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</si>
  <si>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</si>
  <si>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</si>
  <si>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</si>
  <si>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</si>
  <si>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</si>
  <si>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</si>
  <si>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</si>
  <si>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</si>
  <si>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</si>
  <si>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</si>
  <si>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</si>
  <si>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</si>
  <si>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</si>
  <si>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</si>
  <si>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Package_TO_SOT_SMD:TO-263-5_TabPin3</t>
  </si>
  <si>
    <t>5V 3A Step-Down Voltage Regulator, TO-263</t>
  </si>
  <si>
    <t xml:space="preserve">C1, 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</si>
  <si>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</si>
  <si>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</si>
  <si>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</si>
  <si>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</si>
  <si>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</si>
  <si>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</si>
  <si>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 xml:space="preserve">C2, 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</si>
  <si>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</si>
  <si>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</si>
  <si>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</si>
  <si>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</si>
  <si>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</si>
  <si>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</si>
  <si>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</si>
  <si>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</si>
  <si>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</si>
  <si>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</si>
  <si>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</si>
  <si>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</si>
  <si>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</si>
  <si>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</si>
  <si>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</si>
  <si>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</si>
  <si>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</si>
  <si>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</si>
  <si>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</si>
  <si>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Package_TO_SOT_SMD:SOT-143</t>
  </si>
  <si>
    <t>Ultra low capacitance double rail-to-rail ESD protection diode, SOT-143</t>
  </si>
  <si>
    <t xml:space="preserve">D6, </t>
  </si>
  <si>
    <t>12V Power</t>
  </si>
  <si>
    <t>LED</t>
  </si>
  <si>
    <t>Light emitting diode</t>
  </si>
  <si>
    <t xml:space="preserve">D7, </t>
  </si>
  <si>
    <t>3V3 Power</t>
  </si>
  <si>
    <t xml:space="preserve">D8, D9, </t>
  </si>
  <si>
    <t>Yellow</t>
  </si>
  <si>
    <t xml:space="preserve">EC1, EC2, EC3, EC4, EC5, EC6, EC7, EC8, </t>
  </si>
  <si>
    <t>Capacitor_SMD:CP_Elec_6.3x5.9</t>
  </si>
  <si>
    <t>Polarized capacitor</t>
  </si>
  <si>
    <t xml:space="preserve">EC9, EC10, EC11, </t>
  </si>
  <si>
    <t>100u</t>
  </si>
  <si>
    <t>Capacitor_SMD:CP_Elec_10x10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</si>
  <si>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</si>
  <si>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</si>
  <si>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</si>
  <si>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</si>
  <si>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</si>
  <si>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</si>
  <si>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</si>
  <si>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</si>
  <si>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</si>
  <si>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</si>
  <si>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Generic connector, single row, 01x05, script generated (kicad-library-utils/schlib/autogen/connector/)</t>
  </si>
  <si>
    <t>Conn_01x03_Male</t>
  </si>
  <si>
    <t>Connector_PinHeader_2.54mm:PinHeader_1x03_P2.54mm_Vertical</t>
  </si>
  <si>
    <t>Generic connector, single row, 01x03, script generated (kicad-library-utils/schlib/autogen/connector/)</t>
  </si>
  <si>
    <t xml:space="preserve">J3, </t>
  </si>
  <si>
    <t>Generic connector, single row, 01x02, script generated (kicad-library-utils/schlib/autogen/connector/)</t>
  </si>
  <si>
    <t>Connector_PinHeader_1.27mm:PinHeader_1x02_P1.27mm_Vertical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</si>
  <si>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</si>
  <si>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</si>
  <si>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</si>
  <si>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</si>
  <si>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</si>
  <si>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</si>
  <si>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</si>
  <si>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</si>
  <si>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</si>
  <si>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</si>
  <si>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</si>
  <si>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</si>
  <si>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</si>
  <si>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</si>
  <si>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</si>
  <si>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</si>
  <si>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</si>
  <si>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</si>
  <si>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</si>
  <si>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</si>
  <si>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</si>
  <si>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</si>
  <si>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</si>
  <si>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</si>
  <si>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</si>
  <si>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</si>
  <si>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</si>
  <si>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</si>
  <si>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</si>
  <si>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</si>
  <si>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</si>
  <si>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</si>
  <si>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</si>
  <si>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</si>
  <si>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</si>
  <si>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</si>
  <si>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</si>
  <si>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</si>
  <si>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</si>
  <si>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</si>
  <si>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</si>
  <si>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</si>
  <si>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</si>
  <si>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</si>
  <si>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</si>
  <si>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</si>
  <si>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</si>
  <si>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</si>
  <si>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</si>
  <si>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</si>
  <si>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</si>
  <si>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</si>
  <si>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</si>
  <si>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</si>
  <si>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</si>
  <si>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</si>
  <si>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</si>
  <si>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</si>
  <si>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</si>
  <si>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</si>
  <si>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</si>
  <si>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</si>
  <si>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</si>
  <si>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</si>
  <si>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</si>
  <si>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</si>
  <si>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</si>
  <si>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 xml:space="preserve">U18, 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</si>
  <si>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</si>
  <si>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</si>
  <si>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</si>
  <si>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</si>
  <si>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</si>
  <si>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</si>
  <si>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</si>
  <si>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</si>
  <si>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</si>
  <si>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</si>
  <si>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</si>
  <si>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</si>
  <si>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</si>
  <si>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</si>
  <si>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</si>
  <si>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</si>
  <si>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</si>
  <si>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</si>
  <si>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</si>
  <si>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</si>
  <si>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</si>
  <si>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</si>
  <si>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</si>
  <si>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</si>
  <si>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</si>
  <si>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</si>
  <si>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</si>
  <si>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</si>
  <si>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</si>
  <si>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</si>
  <si>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</si>
  <si>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</si>
  <si>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</si>
  <si>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</si>
  <si>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</si>
  <si>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</si>
  <si>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</si>
  <si>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</si>
  <si>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</si>
  <si>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</si>
  <si>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</si>
  <si>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</si>
  <si>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</si>
  <si>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</si>
  <si>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</si>
  <si>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</si>
  <si>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</si>
  <si>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</si>
  <si>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</si>
  <si>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</si>
  <si>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4 Pin Molex, Wire-to-Board, 2.54 mm, 1 Rows, 5 Contacts, Through Hole Straight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</si>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</sst>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0" fontId="0" fillId="0" borderId="11" xfId="0" applyBorder="1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8" fillId="33" borderId="0" xfId="0" applyFont="1" applyFill="1" applyAlignment="1">
      <alignment wrapText="1"/>
    </xf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vertical="center"/>
    </xf>
    <xf numFmtId="0" fontId="0" fillId="33" borderId="0" xfId="0" applyFill="1" applyAlignment="1">
      <alignment horizontal="center" vertical="center"/>
    </xf>
    <xf numFmtId="0" fontId="8" fillId="33" borderId="7" xfId="8" applyFill="1" applyBorder="1" applyAlignment="1">
      <alignment horizontal="center" vertical="center"/>
    </xf>
    <xf numFmtId="0" fontId="0" fillId="33" borderId="0" xfId="0" applyFill="1"/>
    <xf numFmtId="0" fontId="0" fillId="33" borderId="0" xfId="0" applyFill="1" applyAlignment="1">
      <alignment wrapText="1"/>
    </xf>
    <xf numFmtId="0" fontId="0" fillId="33" borderId="0" xfId="0" applyFill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9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4"/>
  <sheetViews>
    <sheetView tabSelected="1" zoomScale="55" zoomScaleNormal="55" workbookViewId="0">
      <pane ySplit="1" topLeftCell="A2" activePane="bottomLeft" state="frozen"/>
      <selection pane="bottomLeft" activeCell="P36" sqref="P36"/>
    </sheetView>
  </sheetViews>
  <sheetFormatPr defaultRowHeight="15" x14ac:dyDescent="0.25"/>
  <cols>
    <col min="1" max="1" width="22.5703125" style="2" customWidth="1"/>
    <col min="2" max="2" width="23.5703125" style="4" customWidth="1"/>
    <col min="3" max="3" width="13.28515625" style="8" customWidth="1"/>
    <col min="4" max="4" width="14.28515625" style="8" customWidth="1"/>
    <col min="5" max="5" width="15" style="8" customWidth="1"/>
    <col min="6" max="6" width="20.85546875" style="8" customWidth="1"/>
    <col min="7" max="7" width="20.7109375" style="4" customWidth="1"/>
    <col min="8" max="8" width="13.7109375" style="4" bestFit="1" customWidth="1"/>
    <col min="9" max="9" width="9.7109375" style="4" bestFit="1" customWidth="1"/>
    <col min="10" max="10" width="11.140625" style="4" bestFit="1" customWidth="1"/>
    <col min="11" max="12" width="9.7109375" style="4" customWidth="1"/>
    <col min="13" max="13" width="9.140625" style="4"/>
    <col min="14" max="14" width="19" style="4" bestFit="1" customWidth="1"/>
    <col min="15" max="15" width="9.140625" style="4"/>
    <col min="16" max="16" width="15.140625" style="4" bestFit="1" customWidth="1"/>
    <col min="17" max="19" width="9.140625" style="4"/>
  </cols>
  <sheetData>
    <row r="1" spans="1:19" s="1" customFormat="1" ht="15.75" thickBot="1" x14ac:dyDescent="0.3">
      <c r="A1" s="3" t="s">
        <v>0</v>
      </c>
      <c r="B1" s="5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5" t="s">
        <v>6</v>
      </c>
      <c r="H1" s="5" t="s">
        <v>166</v>
      </c>
      <c r="I1" s="5" t="s">
        <v>175</v>
      </c>
      <c r="J1" s="5" t="s">
        <v>173</v>
      </c>
      <c r="K1" s="5"/>
      <c r="L1" s="5" t="s">
        <v>171</v>
      </c>
      <c r="M1" s="5" t="s">
        <v>164</v>
      </c>
      <c r="N1" s="5" t="s">
        <v>169</v>
      </c>
      <c r="O1" s="5"/>
      <c r="P1" s="5" t="s">
        <v>176</v>
      </c>
      <c r="Q1" s="5"/>
      <c r="R1" s="5"/>
      <c r="S1" s="5" t="s">
        <v>165</v>
      </c>
    </row>
    <row r="3" spans="1:19" x14ac:dyDescent="0.25">
      <c r="A3" s="2" t="s">
        <v>7</v>
      </c>
      <c r="B3" s="4">
        <v>2</v>
      </c>
      <c r="C3" s="8" t="s">
        <v>8</v>
      </c>
      <c r="D3" s="8" t="s">
        <v>8</v>
      </c>
      <c r="E3" s="8" t="s">
        <v>9</v>
      </c>
      <c r="F3" s="8" t="s">
        <v>10</v>
      </c>
      <c r="G3" s="4" t="s">
        <v>167</v>
      </c>
      <c r="H3" s="4">
        <f>B3*S3</f>
        <v>160</v>
      </c>
      <c r="I3" s="4">
        <v>160</v>
      </c>
      <c r="J3" s="4">
        <v>31244</v>
      </c>
      <c r="L3" s="4" t="s">
        <v>168</v>
      </c>
      <c r="M3" s="4" t="s">
        <v>168</v>
      </c>
      <c r="N3" s="4" t="s">
        <v>168</v>
      </c>
      <c r="P3" s="4">
        <f>I3-H3</f>
        <v>0</v>
      </c>
      <c r="S3" s="4">
        <v>80</v>
      </c>
    </row>
    <row r="4" spans="1:19" x14ac:dyDescent="0.25">
      <c r="A4" s="2" t="s">
        <v>11</v>
      </c>
      <c r="B4" s="4">
        <v>1</v>
      </c>
      <c r="C4" s="8" t="s">
        <v>12</v>
      </c>
      <c r="D4" s="8" t="s">
        <v>12</v>
      </c>
      <c r="E4" s="8" t="s">
        <v>13</v>
      </c>
      <c r="F4" s="8" t="s">
        <v>14</v>
      </c>
      <c r="G4" s="4" t="s">
        <v>167</v>
      </c>
      <c r="H4" s="4">
        <f t="shared" ref="H4:H30" si="0">B4*S4</f>
        <v>80</v>
      </c>
      <c r="I4" s="4">
        <v>80</v>
      </c>
      <c r="J4" s="4">
        <v>31244</v>
      </c>
      <c r="L4" s="4" t="s">
        <v>168</v>
      </c>
      <c r="M4" s="4" t="s">
        <v>168</v>
      </c>
      <c r="N4" s="6">
        <v>44705</v>
      </c>
      <c r="P4" s="4">
        <f t="shared" ref="P4:P31" si="1">I4-H4</f>
        <v>0</v>
      </c>
      <c r="S4" s="4">
        <v>80</v>
      </c>
    </row>
    <row r="5" spans="1:19" x14ac:dyDescent="0.25">
      <c r="A5" s="2" t="s">
        <v>15</v>
      </c>
      <c r="B5" s="4">
        <v>1</v>
      </c>
      <c r="C5" s="8" t="s">
        <v>16</v>
      </c>
      <c r="D5" s="8" t="s">
        <v>16</v>
      </c>
      <c r="E5" s="8" t="s">
        <v>13</v>
      </c>
      <c r="F5" s="8" t="s">
        <v>16</v>
      </c>
      <c r="G5" s="4" t="s">
        <v>170</v>
      </c>
      <c r="H5" s="4">
        <f t="shared" si="0"/>
        <v>80</v>
      </c>
      <c r="I5" s="4">
        <v>80</v>
      </c>
      <c r="J5" s="4">
        <v>31338</v>
      </c>
      <c r="L5" s="4" t="s">
        <v>168</v>
      </c>
      <c r="M5" s="4" t="s">
        <v>172</v>
      </c>
      <c r="P5" s="4">
        <f t="shared" si="1"/>
        <v>0</v>
      </c>
      <c r="S5" s="4">
        <v>80</v>
      </c>
    </row>
    <row r="6" spans="1:19" x14ac:dyDescent="0.25">
      <c r="A6" s="2" t="s">
        <v>17</v>
      </c>
      <c r="B6" s="4">
        <v>1</v>
      </c>
      <c r="C6" s="8" t="s">
        <v>18</v>
      </c>
      <c r="D6" s="8" t="s">
        <v>18</v>
      </c>
      <c r="E6" s="8" t="s">
        <v>19</v>
      </c>
      <c r="F6" s="8" t="s">
        <v>20</v>
      </c>
      <c r="G6" s="4" t="s">
        <v>170</v>
      </c>
      <c r="H6" s="4">
        <f t="shared" si="0"/>
        <v>80</v>
      </c>
      <c r="I6" s="4">
        <v>80</v>
      </c>
      <c r="J6" s="4">
        <v>31338</v>
      </c>
      <c r="L6" s="4" t="s">
        <v>168</v>
      </c>
      <c r="M6" s="4" t="s">
        <v>172</v>
      </c>
      <c r="P6" s="4">
        <f t="shared" si="1"/>
        <v>0</v>
      </c>
      <c r="S6" s="4">
        <v>80</v>
      </c>
    </row>
    <row r="7" spans="1:19" x14ac:dyDescent="0.25">
      <c r="H7" s="4">
        <f t="shared" si="0"/>
        <v>0</v>
      </c>
      <c r="P7" s="4">
        <f t="shared" si="1"/>
        <v>0</v>
      </c>
      <c r="S7" s="4">
        <v>80</v>
      </c>
    </row>
    <row r="8" spans="1:19" x14ac:dyDescent="0.25">
      <c r="A8" s="2" t="s">
        <v>21</v>
      </c>
      <c r="B8" s="4">
        <v>1</v>
      </c>
      <c r="C8" s="8" t="s">
        <v>22</v>
      </c>
      <c r="D8" s="8" t="s">
        <v>23</v>
      </c>
      <c r="E8" s="8" t="s">
        <v>24</v>
      </c>
      <c r="F8" s="8" t="s">
        <v>25</v>
      </c>
      <c r="G8" s="4" t="s">
        <v>174</v>
      </c>
      <c r="H8" s="4">
        <f t="shared" si="0"/>
        <v>80</v>
      </c>
      <c r="I8" s="4">
        <v>85</v>
      </c>
      <c r="J8" s="4">
        <v>31340</v>
      </c>
      <c r="L8" s="4" t="s">
        <v>168</v>
      </c>
      <c r="M8" s="4" t="s">
        <v>172</v>
      </c>
      <c r="P8" s="4">
        <f t="shared" si="1"/>
        <v>5</v>
      </c>
      <c r="S8" s="4">
        <v>80</v>
      </c>
    </row>
    <row r="9" spans="1:19" x14ac:dyDescent="0.25">
      <c r="A9" s="2" t="s">
        <v>177</v>
      </c>
      <c r="B9" s="4">
        <v>2</v>
      </c>
      <c r="C9" s="8" t="s">
        <v>26</v>
      </c>
      <c r="D9" s="8" t="s">
        <v>23</v>
      </c>
      <c r="E9" s="8" t="s">
        <v>24</v>
      </c>
      <c r="F9" s="8" t="s">
        <v>25</v>
      </c>
      <c r="G9" s="4" t="s">
        <v>174</v>
      </c>
      <c r="H9" s="4">
        <f t="shared" si="0"/>
        <v>160</v>
      </c>
      <c r="I9" s="4">
        <v>170</v>
      </c>
      <c r="J9" s="4">
        <v>31258</v>
      </c>
      <c r="L9" s="4" t="s">
        <v>168</v>
      </c>
      <c r="M9" s="4" t="s">
        <v>172</v>
      </c>
      <c r="P9" s="4">
        <f t="shared" si="1"/>
        <v>10</v>
      </c>
      <c r="S9" s="4">
        <v>80</v>
      </c>
    </row>
    <row r="10" spans="1:19" x14ac:dyDescent="0.25">
      <c r="A10" s="2" t="s">
        <v>28</v>
      </c>
      <c r="B10" s="4">
        <v>1</v>
      </c>
      <c r="C10" s="8" t="s">
        <v>29</v>
      </c>
      <c r="D10" s="8" t="s">
        <v>23</v>
      </c>
      <c r="E10" s="8" t="s">
        <v>24</v>
      </c>
      <c r="F10" s="8" t="s">
        <v>25</v>
      </c>
      <c r="G10" s="4" t="s">
        <v>174</v>
      </c>
      <c r="H10" s="4">
        <f t="shared" si="0"/>
        <v>80</v>
      </c>
      <c r="I10" s="4">
        <v>85</v>
      </c>
      <c r="J10" s="4">
        <v>31340</v>
      </c>
      <c r="L10" s="4" t="s">
        <v>168</v>
      </c>
      <c r="M10" s="4" t="s">
        <v>172</v>
      </c>
      <c r="P10" s="4">
        <f t="shared" si="1"/>
        <v>5</v>
      </c>
      <c r="S10" s="4">
        <v>80</v>
      </c>
    </row>
    <row r="11" spans="1:19" x14ac:dyDescent="0.25">
      <c r="A11" s="2" t="s">
        <v>30</v>
      </c>
      <c r="B11" s="4">
        <v>2</v>
      </c>
      <c r="C11" s="8" t="s">
        <v>31</v>
      </c>
      <c r="D11" s="8" t="s">
        <v>23</v>
      </c>
      <c r="E11" s="8" t="s">
        <v>24</v>
      </c>
      <c r="F11" s="8" t="s">
        <v>25</v>
      </c>
      <c r="G11" s="4" t="s">
        <v>174</v>
      </c>
      <c r="H11" s="4">
        <f t="shared" si="0"/>
        <v>160</v>
      </c>
      <c r="I11" s="4">
        <v>170</v>
      </c>
      <c r="J11" s="4">
        <v>31258</v>
      </c>
      <c r="L11" s="4" t="s">
        <v>168</v>
      </c>
      <c r="M11" s="4" t="s">
        <v>172</v>
      </c>
      <c r="P11" s="4">
        <f t="shared" si="1"/>
        <v>10</v>
      </c>
      <c r="S11" s="4">
        <v>80</v>
      </c>
    </row>
    <row r="12" spans="1:19" x14ac:dyDescent="0.25">
      <c r="A12" s="2" t="s">
        <v>32</v>
      </c>
      <c r="B12" s="4">
        <v>4</v>
      </c>
      <c r="C12" s="8" t="s">
        <v>33</v>
      </c>
      <c r="D12" s="8" t="s">
        <v>34</v>
      </c>
      <c r="E12" s="8" t="s">
        <v>24</v>
      </c>
      <c r="F12" s="8" t="s">
        <v>25</v>
      </c>
      <c r="G12" s="4" t="s">
        <v>174</v>
      </c>
      <c r="H12" s="4">
        <f t="shared" si="0"/>
        <v>320</v>
      </c>
      <c r="I12" s="4">
        <v>340</v>
      </c>
      <c r="J12" s="4">
        <v>31258</v>
      </c>
      <c r="L12" s="4" t="s">
        <v>168</v>
      </c>
      <c r="M12" s="4" t="s">
        <v>172</v>
      </c>
      <c r="P12" s="4">
        <f t="shared" si="1"/>
        <v>20</v>
      </c>
      <c r="S12" s="4">
        <v>80</v>
      </c>
    </row>
    <row r="13" spans="1:19" x14ac:dyDescent="0.25">
      <c r="A13" s="2" t="s">
        <v>35</v>
      </c>
      <c r="B13" s="4">
        <v>2</v>
      </c>
      <c r="C13" s="8" t="s">
        <v>36</v>
      </c>
      <c r="D13" s="8" t="s">
        <v>23</v>
      </c>
      <c r="E13" s="8" t="s">
        <v>24</v>
      </c>
      <c r="F13" s="8" t="s">
        <v>25</v>
      </c>
      <c r="G13" s="4" t="s">
        <v>174</v>
      </c>
      <c r="H13" s="4">
        <f t="shared" si="0"/>
        <v>160</v>
      </c>
      <c r="I13" s="4">
        <v>174</v>
      </c>
      <c r="J13" s="4">
        <v>31258</v>
      </c>
      <c r="L13" s="4" t="s">
        <v>168</v>
      </c>
      <c r="M13" s="4" t="s">
        <v>172</v>
      </c>
      <c r="P13" s="4">
        <f t="shared" si="1"/>
        <v>14</v>
      </c>
      <c r="S13" s="4">
        <v>80</v>
      </c>
    </row>
    <row r="14" spans="1:19" ht="90" x14ac:dyDescent="0.25">
      <c r="A14" s="2" t="s">
        <v>178</v>
      </c>
      <c r="B14" s="4">
        <v>28</v>
      </c>
      <c r="C14" s="8" t="s">
        <v>27</v>
      </c>
      <c r="D14" s="8" t="s">
        <v>23</v>
      </c>
      <c r="E14" s="8" t="s">
        <v>24</v>
      </c>
      <c r="F14" s="8" t="s">
        <v>25</v>
      </c>
      <c r="G14" s="4" t="s">
        <v>174</v>
      </c>
      <c r="H14" s="4">
        <f t="shared" si="0"/>
        <v>2240</v>
      </c>
      <c r="I14" s="4">
        <v>2400</v>
      </c>
      <c r="J14" s="4">
        <v>31258</v>
      </c>
      <c r="L14" s="4" t="s">
        <v>168</v>
      </c>
      <c r="M14" s="4" t="s">
        <v>172</v>
      </c>
      <c r="P14" s="4">
        <f t="shared" si="1"/>
        <v>160</v>
      </c>
      <c r="S14" s="4">
        <v>80</v>
      </c>
    </row>
    <row r="15" spans="1:19" x14ac:dyDescent="0.25">
      <c r="H15" s="4">
        <f t="shared" si="0"/>
        <v>0</v>
      </c>
      <c r="P15" s="4">
        <f t="shared" si="1"/>
        <v>0</v>
      </c>
      <c r="S15" s="4">
        <v>80</v>
      </c>
    </row>
    <row r="16" spans="1:19" x14ac:dyDescent="0.25">
      <c r="A16" s="2" t="s">
        <v>37</v>
      </c>
      <c r="B16" s="4">
        <v>1</v>
      </c>
      <c r="C16" s="8" t="s">
        <v>38</v>
      </c>
      <c r="D16" s="8" t="s">
        <v>38</v>
      </c>
      <c r="E16" s="8" t="s">
        <v>39</v>
      </c>
      <c r="F16" s="8" t="s">
        <v>40</v>
      </c>
      <c r="G16" s="4" t="s">
        <v>174</v>
      </c>
      <c r="H16" s="4">
        <f t="shared" si="0"/>
        <v>80</v>
      </c>
      <c r="I16" s="4">
        <v>90</v>
      </c>
      <c r="J16" s="4">
        <v>31258</v>
      </c>
      <c r="L16" s="4" t="s">
        <v>168</v>
      </c>
      <c r="M16" s="4" t="s">
        <v>172</v>
      </c>
      <c r="P16" s="4">
        <f t="shared" si="1"/>
        <v>10</v>
      </c>
      <c r="S16" s="4">
        <v>80</v>
      </c>
    </row>
    <row r="17" spans="1:19" x14ac:dyDescent="0.25">
      <c r="A17" s="2" t="s">
        <v>41</v>
      </c>
      <c r="B17" s="4">
        <v>2</v>
      </c>
      <c r="C17" s="8" t="s">
        <v>42</v>
      </c>
      <c r="D17" s="8" t="s">
        <v>42</v>
      </c>
      <c r="E17" s="8" t="s">
        <v>43</v>
      </c>
      <c r="F17" s="8" t="s">
        <v>44</v>
      </c>
      <c r="G17" s="4" t="s">
        <v>167</v>
      </c>
      <c r="H17" s="4">
        <f t="shared" si="0"/>
        <v>160</v>
      </c>
      <c r="J17" s="4">
        <v>31361</v>
      </c>
      <c r="L17" s="4" t="s">
        <v>168</v>
      </c>
      <c r="N17" s="6">
        <v>44718</v>
      </c>
      <c r="P17" s="4">
        <f t="shared" si="1"/>
        <v>-160</v>
      </c>
      <c r="S17" s="4">
        <v>80</v>
      </c>
    </row>
    <row r="18" spans="1:19" x14ac:dyDescent="0.25">
      <c r="A18" s="2" t="s">
        <v>45</v>
      </c>
      <c r="B18" s="4">
        <v>2</v>
      </c>
      <c r="C18" s="8" t="s">
        <v>46</v>
      </c>
      <c r="D18" s="8" t="s">
        <v>47</v>
      </c>
      <c r="E18" s="8" t="s">
        <v>48</v>
      </c>
      <c r="F18" s="8" t="s">
        <v>49</v>
      </c>
      <c r="G18" s="4" t="s">
        <v>174</v>
      </c>
      <c r="H18" s="4">
        <f t="shared" si="0"/>
        <v>160</v>
      </c>
      <c r="I18" s="4">
        <v>170</v>
      </c>
      <c r="J18" s="4">
        <v>31258</v>
      </c>
      <c r="L18" s="4" t="s">
        <v>168</v>
      </c>
      <c r="M18" s="4" t="s">
        <v>172</v>
      </c>
      <c r="P18" s="4">
        <f t="shared" si="1"/>
        <v>10</v>
      </c>
      <c r="S18" s="4">
        <v>80</v>
      </c>
    </row>
    <row r="19" spans="1:19" x14ac:dyDescent="0.25">
      <c r="A19" s="2" t="s">
        <v>50</v>
      </c>
      <c r="B19" s="4">
        <v>1</v>
      </c>
      <c r="C19" s="8" t="s">
        <v>51</v>
      </c>
      <c r="D19" s="8" t="s">
        <v>179</v>
      </c>
      <c r="F19" s="8" t="s">
        <v>53</v>
      </c>
      <c r="G19" s="4" t="s">
        <v>174</v>
      </c>
      <c r="H19" s="4">
        <f t="shared" si="0"/>
        <v>80</v>
      </c>
      <c r="I19" s="4">
        <v>260</v>
      </c>
      <c r="J19" s="4">
        <v>31258</v>
      </c>
      <c r="L19" s="4" t="s">
        <v>168</v>
      </c>
      <c r="M19" s="4" t="s">
        <v>172</v>
      </c>
      <c r="P19" s="4">
        <f t="shared" si="1"/>
        <v>180</v>
      </c>
      <c r="S19" s="4">
        <v>80</v>
      </c>
    </row>
    <row r="20" spans="1:19" x14ac:dyDescent="0.25">
      <c r="A20" s="2" t="s">
        <v>54</v>
      </c>
      <c r="B20" s="4">
        <v>1</v>
      </c>
      <c r="C20" s="8" t="s">
        <v>55</v>
      </c>
      <c r="D20" s="8" t="s">
        <v>180</v>
      </c>
      <c r="F20" s="8" t="s">
        <v>53</v>
      </c>
      <c r="G20" s="4" t="s">
        <v>174</v>
      </c>
      <c r="H20" s="4">
        <f t="shared" si="0"/>
        <v>80</v>
      </c>
      <c r="I20" s="4">
        <v>100</v>
      </c>
      <c r="J20" s="4">
        <v>31258</v>
      </c>
      <c r="L20" s="4" t="s">
        <v>168</v>
      </c>
      <c r="M20" s="4" t="s">
        <v>172</v>
      </c>
      <c r="P20" s="4">
        <f t="shared" si="1"/>
        <v>20</v>
      </c>
      <c r="S20" s="4">
        <v>80</v>
      </c>
    </row>
    <row r="21" spans="1:19" x14ac:dyDescent="0.25">
      <c r="A21" s="2" t="s">
        <v>56</v>
      </c>
      <c r="B21" s="4">
        <v>2</v>
      </c>
      <c r="C21" s="8" t="s">
        <v>57</v>
      </c>
      <c r="D21" s="8" t="s">
        <v>52</v>
      </c>
      <c r="F21" s="8" t="s">
        <v>53</v>
      </c>
      <c r="G21" s="4" t="s">
        <v>174</v>
      </c>
      <c r="H21" s="4">
        <f t="shared" si="0"/>
        <v>160</v>
      </c>
      <c r="I21" s="4">
        <v>170</v>
      </c>
      <c r="J21" s="4">
        <v>31340</v>
      </c>
      <c r="L21" s="4" t="s">
        <v>168</v>
      </c>
      <c r="M21" s="4" t="s">
        <v>172</v>
      </c>
      <c r="P21" s="4">
        <f t="shared" si="1"/>
        <v>10</v>
      </c>
      <c r="S21" s="4">
        <v>80</v>
      </c>
    </row>
    <row r="22" spans="1:19" x14ac:dyDescent="0.25">
      <c r="H22" s="4">
        <f t="shared" si="0"/>
        <v>0</v>
      </c>
      <c r="P22" s="4">
        <f t="shared" si="1"/>
        <v>0</v>
      </c>
      <c r="S22" s="4">
        <v>80</v>
      </c>
    </row>
    <row r="23" spans="1:19" ht="30" x14ac:dyDescent="0.25">
      <c r="A23" s="2" t="s">
        <v>58</v>
      </c>
      <c r="B23" s="4">
        <v>8</v>
      </c>
      <c r="C23" s="8" t="s">
        <v>22</v>
      </c>
      <c r="E23" s="8" t="s">
        <v>59</v>
      </c>
      <c r="F23" s="8" t="s">
        <v>60</v>
      </c>
      <c r="G23" s="4" t="s">
        <v>174</v>
      </c>
      <c r="H23" s="4">
        <f t="shared" si="0"/>
        <v>640</v>
      </c>
      <c r="I23" s="4">
        <v>670</v>
      </c>
      <c r="J23" s="4">
        <v>31258</v>
      </c>
      <c r="L23" s="4" t="s">
        <v>168</v>
      </c>
      <c r="M23" s="4" t="s">
        <v>172</v>
      </c>
      <c r="P23" s="4">
        <f t="shared" si="1"/>
        <v>30</v>
      </c>
      <c r="S23" s="4">
        <v>80</v>
      </c>
    </row>
    <row r="24" spans="1:19" x14ac:dyDescent="0.25">
      <c r="A24" s="2" t="s">
        <v>61</v>
      </c>
      <c r="B24" s="4">
        <v>3</v>
      </c>
      <c r="C24" s="8" t="s">
        <v>62</v>
      </c>
      <c r="D24" s="8" t="s">
        <v>62</v>
      </c>
      <c r="E24" s="8" t="s">
        <v>63</v>
      </c>
      <c r="F24" s="8" t="s">
        <v>60</v>
      </c>
      <c r="G24" s="4" t="s">
        <v>174</v>
      </c>
      <c r="H24" s="4">
        <f t="shared" si="0"/>
        <v>240</v>
      </c>
      <c r="I24" s="4">
        <v>252</v>
      </c>
      <c r="J24" s="4">
        <v>31258</v>
      </c>
      <c r="L24" s="4" t="s">
        <v>168</v>
      </c>
      <c r="M24" s="4" t="s">
        <v>172</v>
      </c>
      <c r="P24" s="4">
        <f t="shared" si="1"/>
        <v>12</v>
      </c>
      <c r="S24" s="4">
        <v>80</v>
      </c>
    </row>
    <row r="25" spans="1:19" x14ac:dyDescent="0.25">
      <c r="H25" s="4">
        <f t="shared" si="0"/>
        <v>0</v>
      </c>
      <c r="P25" s="4">
        <f t="shared" si="1"/>
        <v>0</v>
      </c>
      <c r="S25" s="4">
        <v>80</v>
      </c>
    </row>
    <row r="26" spans="1:19" x14ac:dyDescent="0.25">
      <c r="A26" s="2" t="s">
        <v>181</v>
      </c>
      <c r="B26" s="4">
        <v>2</v>
      </c>
      <c r="C26" s="8" t="s">
        <v>64</v>
      </c>
      <c r="D26" s="8" t="s">
        <v>65</v>
      </c>
      <c r="E26" s="8" t="s">
        <v>66</v>
      </c>
      <c r="F26" s="8" t="s">
        <v>65</v>
      </c>
      <c r="G26" s="4" t="s">
        <v>174</v>
      </c>
      <c r="H26" s="4">
        <f t="shared" si="0"/>
        <v>160</v>
      </c>
      <c r="I26" s="4">
        <v>168</v>
      </c>
      <c r="J26" s="4">
        <v>31258</v>
      </c>
      <c r="L26" s="4" t="s">
        <v>168</v>
      </c>
      <c r="M26" s="4" t="s">
        <v>172</v>
      </c>
      <c r="P26" s="4">
        <f t="shared" si="1"/>
        <v>8</v>
      </c>
      <c r="S26" s="4">
        <v>80</v>
      </c>
    </row>
    <row r="27" spans="1:19" x14ac:dyDescent="0.25">
      <c r="H27" s="4">
        <f t="shared" si="0"/>
        <v>0</v>
      </c>
      <c r="P27" s="4">
        <f t="shared" si="1"/>
        <v>0</v>
      </c>
      <c r="S27" s="4">
        <v>80</v>
      </c>
    </row>
    <row r="28" spans="1:19" x14ac:dyDescent="0.25">
      <c r="A28" s="2" t="s">
        <v>67</v>
      </c>
      <c r="B28" s="4">
        <v>2</v>
      </c>
      <c r="C28" s="8" t="s">
        <v>68</v>
      </c>
      <c r="D28" s="8" t="s">
        <v>69</v>
      </c>
      <c r="E28" s="8" t="s">
        <v>70</v>
      </c>
      <c r="F28" s="8" t="s">
        <v>71</v>
      </c>
      <c r="G28" s="4" t="s">
        <v>167</v>
      </c>
      <c r="H28" s="4">
        <f t="shared" si="0"/>
        <v>160</v>
      </c>
      <c r="I28" s="4">
        <v>200</v>
      </c>
      <c r="J28" s="4">
        <v>31244</v>
      </c>
      <c r="L28" s="4" t="s">
        <v>168</v>
      </c>
      <c r="M28" s="4" t="s">
        <v>168</v>
      </c>
      <c r="N28" s="4" t="s">
        <v>168</v>
      </c>
      <c r="P28" s="4">
        <f t="shared" si="1"/>
        <v>40</v>
      </c>
      <c r="S28" s="4">
        <v>80</v>
      </c>
    </row>
    <row r="30" spans="1:19" x14ac:dyDescent="0.25">
      <c r="A30" s="7" t="s">
        <v>183</v>
      </c>
      <c r="H30" s="4">
        <f t="shared" si="0"/>
        <v>0</v>
      </c>
      <c r="P30" s="4">
        <f t="shared" si="1"/>
        <v>0</v>
      </c>
      <c r="S30" s="4">
        <v>80</v>
      </c>
    </row>
    <row r="31" spans="1:19" x14ac:dyDescent="0.25">
      <c r="A31" s="2" t="s">
        <v>184</v>
      </c>
      <c r="B31" s="4">
        <v>3</v>
      </c>
      <c r="C31" s="8" t="s">
        <v>199</v>
      </c>
      <c r="D31" s="8" t="s">
        <v>72</v>
      </c>
      <c r="E31" s="8" t="s">
        <v>73</v>
      </c>
      <c r="F31" s="8" t="s">
        <v>74</v>
      </c>
      <c r="G31" s="4" t="s">
        <v>174</v>
      </c>
      <c r="H31" s="4">
        <f>B31*S32</f>
        <v>240</v>
      </c>
      <c r="I31" s="4">
        <v>252</v>
      </c>
      <c r="J31" s="4">
        <v>31258</v>
      </c>
      <c r="L31" s="4" t="s">
        <v>168</v>
      </c>
      <c r="M31" s="4" t="s">
        <v>172</v>
      </c>
      <c r="P31" s="4">
        <f t="shared" si="1"/>
        <v>12</v>
      </c>
      <c r="S31" s="4">
        <v>80</v>
      </c>
    </row>
    <row r="32" spans="1:19" x14ac:dyDescent="0.25">
      <c r="A32" s="2" t="s">
        <v>95</v>
      </c>
      <c r="B32" s="4">
        <v>1</v>
      </c>
      <c r="C32" s="8" t="s">
        <v>200</v>
      </c>
      <c r="D32" s="8" t="s">
        <v>75</v>
      </c>
      <c r="E32" s="8" t="s">
        <v>76</v>
      </c>
      <c r="F32" s="8" t="s">
        <v>77</v>
      </c>
      <c r="G32" s="4" t="s">
        <v>174</v>
      </c>
      <c r="H32" s="4">
        <f>B32*S33</f>
        <v>80</v>
      </c>
      <c r="I32" s="4">
        <v>100</v>
      </c>
      <c r="J32" s="4">
        <v>31258</v>
      </c>
      <c r="L32" s="4" t="s">
        <v>168</v>
      </c>
      <c r="M32" s="4" t="s">
        <v>172</v>
      </c>
      <c r="P32" s="4">
        <f>I32-H32</f>
        <v>20</v>
      </c>
      <c r="S32" s="4">
        <v>80</v>
      </c>
    </row>
    <row r="33" spans="1:19" x14ac:dyDescent="0.25">
      <c r="A33" s="2" t="s">
        <v>185</v>
      </c>
      <c r="B33" s="4">
        <v>6</v>
      </c>
      <c r="C33" s="10" t="s">
        <v>183</v>
      </c>
      <c r="D33" s="8" t="s">
        <v>191</v>
      </c>
      <c r="E33" s="8" t="s">
        <v>73</v>
      </c>
      <c r="G33" s="4" t="s">
        <v>174</v>
      </c>
      <c r="H33" s="4">
        <f>B33*S33</f>
        <v>480</v>
      </c>
      <c r="I33" s="4">
        <v>500</v>
      </c>
      <c r="J33" s="4">
        <v>31258</v>
      </c>
      <c r="L33" s="4" t="s">
        <v>168</v>
      </c>
      <c r="M33" s="4" t="s">
        <v>172</v>
      </c>
      <c r="P33" s="4">
        <f>I33-H33</f>
        <v>20</v>
      </c>
      <c r="S33" s="4">
        <v>80</v>
      </c>
    </row>
    <row r="34" spans="1:19" x14ac:dyDescent="0.25">
      <c r="A34" s="2" t="s">
        <v>186</v>
      </c>
      <c r="B34" s="4">
        <v>6</v>
      </c>
      <c r="C34" s="10" t="s">
        <v>192</v>
      </c>
      <c r="D34" s="8" t="s">
        <v>193</v>
      </c>
      <c r="E34" s="8" t="s">
        <v>194</v>
      </c>
      <c r="G34" s="4" t="s">
        <v>174</v>
      </c>
      <c r="H34" s="4">
        <f>B34*S34</f>
        <v>480</v>
      </c>
      <c r="I34" s="4">
        <v>500</v>
      </c>
      <c r="J34" s="4">
        <v>31258</v>
      </c>
      <c r="L34" s="4" t="s">
        <v>168</v>
      </c>
      <c r="M34" s="4" t="s">
        <v>172</v>
      </c>
      <c r="P34" s="4">
        <f>I34-H34</f>
        <v>20</v>
      </c>
      <c r="S34" s="4">
        <v>80</v>
      </c>
    </row>
    <row r="35" spans="1:19" x14ac:dyDescent="0.25">
      <c r="H35" s="4">
        <f>B35*S34</f>
        <v>0</v>
      </c>
      <c r="P35" s="4">
        <f t="shared" ref="P35:P54" si="2">I35-H35</f>
        <v>0</v>
      </c>
    </row>
    <row r="36" spans="1:19" x14ac:dyDescent="0.25">
      <c r="H36" s="4">
        <f t="shared" ref="H36:H54" si="3">B36*S36</f>
        <v>0</v>
      </c>
      <c r="P36" s="4">
        <f t="shared" si="2"/>
        <v>0</v>
      </c>
      <c r="S36" s="4">
        <v>80</v>
      </c>
    </row>
    <row r="37" spans="1:19" x14ac:dyDescent="0.25">
      <c r="A37" s="7" t="s">
        <v>182</v>
      </c>
      <c r="H37" s="4">
        <f t="shared" si="3"/>
        <v>0</v>
      </c>
      <c r="P37" s="4">
        <f t="shared" si="2"/>
        <v>0</v>
      </c>
      <c r="S37" s="4">
        <v>80</v>
      </c>
    </row>
    <row r="38" spans="1:19" x14ac:dyDescent="0.25">
      <c r="A38" s="2" t="s">
        <v>78</v>
      </c>
      <c r="B38" s="4">
        <v>1</v>
      </c>
      <c r="C38" s="8" t="s">
        <v>197</v>
      </c>
      <c r="D38" s="8" t="s">
        <v>197</v>
      </c>
      <c r="E38" s="8" t="s">
        <v>198</v>
      </c>
      <c r="F38" s="8" t="s">
        <v>79</v>
      </c>
      <c r="G38" s="4" t="s">
        <v>167</v>
      </c>
      <c r="H38" s="4">
        <f>B38*S38</f>
        <v>80</v>
      </c>
      <c r="I38" s="4">
        <v>80</v>
      </c>
      <c r="J38" s="4">
        <v>31244</v>
      </c>
      <c r="L38" s="4" t="s">
        <v>168</v>
      </c>
      <c r="M38" s="4" t="s">
        <v>168</v>
      </c>
      <c r="N38" s="4" t="s">
        <v>168</v>
      </c>
      <c r="P38" s="4">
        <f>I38-H38</f>
        <v>0</v>
      </c>
      <c r="S38" s="4">
        <v>80</v>
      </c>
    </row>
    <row r="39" spans="1:19" x14ac:dyDescent="0.25">
      <c r="A39" s="2" t="s">
        <v>81</v>
      </c>
      <c r="B39" s="4">
        <v>1</v>
      </c>
      <c r="C39" s="8" t="s">
        <v>82</v>
      </c>
      <c r="D39" s="8">
        <v>2784974</v>
      </c>
      <c r="F39" s="8" t="s">
        <v>83</v>
      </c>
      <c r="G39" s="4" t="s">
        <v>174</v>
      </c>
      <c r="H39" s="4">
        <f>B39*S39</f>
        <v>80</v>
      </c>
      <c r="I39" s="4">
        <v>100</v>
      </c>
      <c r="J39" s="4">
        <v>31258</v>
      </c>
      <c r="L39" s="4" t="s">
        <v>168</v>
      </c>
      <c r="M39" s="4" t="s">
        <v>172</v>
      </c>
      <c r="P39" s="4">
        <f>I39-H39</f>
        <v>20</v>
      </c>
      <c r="S39" s="4">
        <v>80</v>
      </c>
    </row>
    <row r="40" spans="1:19" x14ac:dyDescent="0.25">
      <c r="A40" s="2" t="s">
        <v>84</v>
      </c>
      <c r="B40" s="4">
        <v>2</v>
      </c>
      <c r="C40" s="8" t="s">
        <v>85</v>
      </c>
      <c r="D40" s="8">
        <v>2293774</v>
      </c>
      <c r="E40" s="8" t="s">
        <v>86</v>
      </c>
      <c r="F40" s="8" t="s">
        <v>87</v>
      </c>
      <c r="G40" s="4" t="s">
        <v>174</v>
      </c>
      <c r="H40" s="4">
        <f>B40*S40</f>
        <v>160</v>
      </c>
      <c r="I40" s="4">
        <v>170</v>
      </c>
      <c r="J40" s="4">
        <v>31258</v>
      </c>
      <c r="L40" s="4" t="s">
        <v>168</v>
      </c>
      <c r="M40" s="4" t="s">
        <v>172</v>
      </c>
      <c r="P40" s="4">
        <f>I40-H40</f>
        <v>10</v>
      </c>
      <c r="S40" s="4">
        <v>80</v>
      </c>
    </row>
    <row r="41" spans="1:19" x14ac:dyDescent="0.25">
      <c r="A41" s="2" t="s">
        <v>187</v>
      </c>
      <c r="B41" s="4">
        <v>4</v>
      </c>
      <c r="C41" s="8" t="s">
        <v>201</v>
      </c>
      <c r="D41" s="8">
        <v>2008019</v>
      </c>
      <c r="E41" s="8" t="s">
        <v>90</v>
      </c>
      <c r="F41" s="8" t="s">
        <v>91</v>
      </c>
      <c r="G41" s="4" t="s">
        <v>174</v>
      </c>
      <c r="H41" s="4">
        <f t="shared" si="3"/>
        <v>320</v>
      </c>
      <c r="I41" s="4">
        <v>335</v>
      </c>
      <c r="J41" s="4">
        <v>31258</v>
      </c>
      <c r="L41" s="4" t="s">
        <v>168</v>
      </c>
      <c r="M41" s="4" t="s">
        <v>172</v>
      </c>
      <c r="P41" s="4">
        <f t="shared" si="2"/>
        <v>15</v>
      </c>
      <c r="S41" s="4">
        <v>80</v>
      </c>
    </row>
    <row r="42" spans="1:19" x14ac:dyDescent="0.25">
      <c r="A42" s="2" t="s">
        <v>188</v>
      </c>
      <c r="B42" s="4">
        <v>2</v>
      </c>
      <c r="C42" s="8" t="s">
        <v>202</v>
      </c>
      <c r="D42" s="8">
        <v>2008020</v>
      </c>
      <c r="E42" s="8" t="s">
        <v>92</v>
      </c>
      <c r="F42" s="8" t="s">
        <v>93</v>
      </c>
      <c r="G42" s="4" t="s">
        <v>174</v>
      </c>
      <c r="H42" s="4">
        <f t="shared" si="3"/>
        <v>160</v>
      </c>
      <c r="I42" s="4">
        <v>170</v>
      </c>
      <c r="J42" s="4">
        <v>31258</v>
      </c>
      <c r="L42" s="4" t="s">
        <v>168</v>
      </c>
      <c r="M42" s="4" t="s">
        <v>172</v>
      </c>
      <c r="P42" s="4">
        <f t="shared" si="2"/>
        <v>10</v>
      </c>
      <c r="S42" s="4">
        <v>80</v>
      </c>
    </row>
    <row r="43" spans="1:19" x14ac:dyDescent="0.25">
      <c r="A43" s="2" t="s">
        <v>189</v>
      </c>
      <c r="B43" s="4">
        <v>3</v>
      </c>
      <c r="C43" s="8" t="s">
        <v>203</v>
      </c>
      <c r="D43" s="8">
        <v>1462926</v>
      </c>
      <c r="E43" s="8" t="s">
        <v>80</v>
      </c>
      <c r="F43" s="8" t="s">
        <v>79</v>
      </c>
      <c r="G43" s="4" t="s">
        <v>174</v>
      </c>
      <c r="H43" s="4">
        <f>B43*S43</f>
        <v>240</v>
      </c>
      <c r="I43" s="4">
        <v>250</v>
      </c>
      <c r="J43" s="4">
        <v>31258</v>
      </c>
      <c r="L43" s="4" t="s">
        <v>168</v>
      </c>
      <c r="M43" s="4" t="s">
        <v>172</v>
      </c>
      <c r="P43" s="4">
        <f>I43-H43</f>
        <v>10</v>
      </c>
      <c r="S43" s="4">
        <v>80</v>
      </c>
    </row>
    <row r="44" spans="1:19" x14ac:dyDescent="0.25">
      <c r="A44" s="9" t="s">
        <v>190</v>
      </c>
      <c r="B44" s="11">
        <v>3</v>
      </c>
      <c r="C44" s="10" t="s">
        <v>204</v>
      </c>
      <c r="D44" s="8">
        <v>1462950</v>
      </c>
      <c r="E44" s="8" t="s">
        <v>76</v>
      </c>
      <c r="F44" s="8" t="s">
        <v>77</v>
      </c>
      <c r="G44" s="4" t="s">
        <v>174</v>
      </c>
      <c r="H44" s="4">
        <f>B44*S44</f>
        <v>240</v>
      </c>
      <c r="I44" s="4">
        <v>250</v>
      </c>
      <c r="J44" s="4">
        <v>31258</v>
      </c>
      <c r="L44" s="4" t="s">
        <v>168</v>
      </c>
      <c r="M44" s="4" t="s">
        <v>172</v>
      </c>
      <c r="P44" s="4">
        <f>I44-H44</f>
        <v>10</v>
      </c>
      <c r="S44" s="4">
        <v>80</v>
      </c>
    </row>
    <row r="45" spans="1:19" x14ac:dyDescent="0.25">
      <c r="A45" s="2" t="s">
        <v>94</v>
      </c>
      <c r="B45" s="4">
        <v>1</v>
      </c>
      <c r="C45" s="8" t="s">
        <v>205</v>
      </c>
      <c r="E45" s="8" t="s">
        <v>88</v>
      </c>
      <c r="F45" s="8" t="s">
        <v>89</v>
      </c>
      <c r="G45" s="4" t="s">
        <v>167</v>
      </c>
      <c r="H45" s="4">
        <f t="shared" si="3"/>
        <v>80</v>
      </c>
      <c r="I45" s="4">
        <v>80</v>
      </c>
      <c r="J45" s="4">
        <v>31244</v>
      </c>
      <c r="L45" s="4" t="s">
        <v>168</v>
      </c>
      <c r="M45" s="4" t="s">
        <v>168</v>
      </c>
      <c r="N45" s="4" t="s">
        <v>168</v>
      </c>
      <c r="P45" s="4">
        <f t="shared" si="2"/>
        <v>0</v>
      </c>
      <c r="S45" s="4">
        <v>80</v>
      </c>
    </row>
    <row r="46" spans="1:19" x14ac:dyDescent="0.25">
      <c r="H46" s="4">
        <f t="shared" si="3"/>
        <v>0</v>
      </c>
      <c r="P46" s="4">
        <f t="shared" si="2"/>
        <v>0</v>
      </c>
      <c r="S46" s="4">
        <v>80</v>
      </c>
    </row>
    <row r="47" spans="1:19" x14ac:dyDescent="0.25">
      <c r="H47" s="4">
        <f t="shared" si="3"/>
        <v>0</v>
      </c>
      <c r="P47" s="4">
        <f t="shared" si="2"/>
        <v>0</v>
      </c>
      <c r="S47" s="4">
        <v>80</v>
      </c>
    </row>
    <row r="48" spans="1:19" x14ac:dyDescent="0.25">
      <c r="A48" s="2" t="s">
        <v>96</v>
      </c>
      <c r="B48" s="4">
        <v>1</v>
      </c>
      <c r="C48" s="8" t="s">
        <v>97</v>
      </c>
      <c r="D48" s="8" t="s">
        <v>97</v>
      </c>
      <c r="E48" s="8" t="s">
        <v>98</v>
      </c>
      <c r="F48" s="8" t="s">
        <v>99</v>
      </c>
      <c r="G48" s="4" t="s">
        <v>174</v>
      </c>
      <c r="H48" s="4">
        <f t="shared" si="3"/>
        <v>80</v>
      </c>
      <c r="I48" s="4">
        <v>100</v>
      </c>
      <c r="J48" s="4">
        <v>31258</v>
      </c>
      <c r="L48" s="4" t="s">
        <v>168</v>
      </c>
      <c r="M48" s="4" t="s">
        <v>172</v>
      </c>
      <c r="P48" s="4">
        <f t="shared" si="2"/>
        <v>20</v>
      </c>
      <c r="S48" s="4">
        <v>80</v>
      </c>
    </row>
    <row r="49" spans="1:19" x14ac:dyDescent="0.25">
      <c r="H49" s="4">
        <f t="shared" si="3"/>
        <v>0</v>
      </c>
      <c r="P49" s="4">
        <f t="shared" si="2"/>
        <v>0</v>
      </c>
      <c r="S49" s="4">
        <v>80</v>
      </c>
    </row>
    <row r="50" spans="1:19" x14ac:dyDescent="0.25">
      <c r="A50" s="2" t="s">
        <v>100</v>
      </c>
      <c r="B50" s="4">
        <v>2</v>
      </c>
      <c r="C50" s="8" t="s">
        <v>101</v>
      </c>
      <c r="D50" s="8" t="s">
        <v>102</v>
      </c>
      <c r="E50" s="8" t="s">
        <v>103</v>
      </c>
      <c r="F50" s="8" t="s">
        <v>104</v>
      </c>
      <c r="G50" s="4" t="s">
        <v>174</v>
      </c>
      <c r="H50" s="4">
        <f t="shared" si="3"/>
        <v>160</v>
      </c>
      <c r="I50" s="4">
        <v>200</v>
      </c>
      <c r="J50" s="4">
        <v>31258</v>
      </c>
      <c r="L50" s="4" t="s">
        <v>168</v>
      </c>
      <c r="M50" s="4" t="s">
        <v>172</v>
      </c>
      <c r="P50" s="4">
        <f t="shared" si="2"/>
        <v>40</v>
      </c>
      <c r="S50" s="4">
        <v>80</v>
      </c>
    </row>
    <row r="51" spans="1:19" ht="30" x14ac:dyDescent="0.25">
      <c r="A51" s="2" t="s">
        <v>105</v>
      </c>
      <c r="B51" s="4">
        <v>7</v>
      </c>
      <c r="C51" s="8" t="s">
        <v>106</v>
      </c>
      <c r="D51" s="8" t="s">
        <v>102</v>
      </c>
      <c r="E51" s="8" t="s">
        <v>103</v>
      </c>
      <c r="F51" s="8" t="s">
        <v>104</v>
      </c>
      <c r="G51" s="4" t="s">
        <v>174</v>
      </c>
      <c r="H51" s="4">
        <f t="shared" si="3"/>
        <v>560</v>
      </c>
      <c r="I51" s="4">
        <v>590</v>
      </c>
      <c r="J51" s="4">
        <v>31258</v>
      </c>
      <c r="K51" s="4">
        <v>31340</v>
      </c>
      <c r="L51" s="4" t="s">
        <v>168</v>
      </c>
      <c r="M51" s="4" t="s">
        <v>206</v>
      </c>
      <c r="P51" s="4">
        <f t="shared" si="2"/>
        <v>30</v>
      </c>
      <c r="S51" s="4">
        <v>80</v>
      </c>
    </row>
    <row r="52" spans="1:19" x14ac:dyDescent="0.25">
      <c r="A52" s="2" t="s">
        <v>107</v>
      </c>
      <c r="B52" s="4">
        <v>3</v>
      </c>
      <c r="C52" s="8" t="s">
        <v>108</v>
      </c>
      <c r="D52" s="8" t="s">
        <v>102</v>
      </c>
      <c r="E52" s="8" t="s">
        <v>103</v>
      </c>
      <c r="F52" s="8" t="s">
        <v>104</v>
      </c>
      <c r="G52" s="4" t="s">
        <v>174</v>
      </c>
      <c r="H52" s="4">
        <f t="shared" si="3"/>
        <v>240</v>
      </c>
      <c r="I52" s="4">
        <v>250</v>
      </c>
      <c r="J52" s="4">
        <v>31258</v>
      </c>
      <c r="L52" s="4" t="s">
        <v>168</v>
      </c>
      <c r="M52" s="4" t="s">
        <v>172</v>
      </c>
      <c r="P52" s="4">
        <f t="shared" si="2"/>
        <v>10</v>
      </c>
      <c r="S52" s="4">
        <v>80</v>
      </c>
    </row>
    <row r="53" spans="1:19" ht="60" x14ac:dyDescent="0.25">
      <c r="A53" s="2" t="s">
        <v>109</v>
      </c>
      <c r="B53" s="4">
        <v>18</v>
      </c>
      <c r="C53" s="8" t="s">
        <v>110</v>
      </c>
      <c r="D53" s="8" t="s">
        <v>102</v>
      </c>
      <c r="E53" s="8" t="s">
        <v>103</v>
      </c>
      <c r="F53" s="8" t="s">
        <v>104</v>
      </c>
      <c r="G53" s="4" t="s">
        <v>174</v>
      </c>
      <c r="H53" s="4">
        <f t="shared" si="3"/>
        <v>1440</v>
      </c>
      <c r="I53" s="4">
        <v>1520</v>
      </c>
      <c r="J53" s="4">
        <v>31258</v>
      </c>
      <c r="L53" s="4" t="s">
        <v>168</v>
      </c>
      <c r="M53" s="4" t="s">
        <v>172</v>
      </c>
      <c r="P53" s="4">
        <f t="shared" si="2"/>
        <v>80</v>
      </c>
      <c r="S53" s="4">
        <v>80</v>
      </c>
    </row>
    <row r="54" spans="1:19" x14ac:dyDescent="0.25">
      <c r="A54" s="2" t="s">
        <v>111</v>
      </c>
      <c r="B54" s="4">
        <v>2</v>
      </c>
      <c r="C54" s="8" t="s">
        <v>112</v>
      </c>
      <c r="D54" s="8" t="s">
        <v>102</v>
      </c>
      <c r="E54" s="8" t="s">
        <v>103</v>
      </c>
      <c r="F54" s="8" t="s">
        <v>104</v>
      </c>
      <c r="G54" s="4" t="s">
        <v>174</v>
      </c>
      <c r="H54" s="4">
        <f t="shared" si="3"/>
        <v>160</v>
      </c>
      <c r="I54" s="4">
        <v>170</v>
      </c>
      <c r="J54" s="4">
        <v>31258</v>
      </c>
      <c r="L54" s="4" t="s">
        <v>168</v>
      </c>
      <c r="M54" s="4" t="s">
        <v>172</v>
      </c>
      <c r="P54" s="4">
        <f t="shared" si="2"/>
        <v>10</v>
      </c>
      <c r="S54" s="4">
        <v>80</v>
      </c>
    </row>
    <row r="55" spans="1:19" x14ac:dyDescent="0.25">
      <c r="A55" s="2" t="s">
        <v>113</v>
      </c>
      <c r="B55" s="4">
        <v>4</v>
      </c>
      <c r="C55" s="8" t="s">
        <v>114</v>
      </c>
      <c r="D55" s="8" t="s">
        <v>102</v>
      </c>
      <c r="E55" s="8" t="s">
        <v>103</v>
      </c>
      <c r="F55" s="8" t="s">
        <v>104</v>
      </c>
      <c r="G55" s="4" t="s">
        <v>174</v>
      </c>
      <c r="H55" s="4">
        <f t="shared" ref="H55:H84" si="4">B55*S55</f>
        <v>320</v>
      </c>
      <c r="I55" s="4">
        <v>500</v>
      </c>
      <c r="J55" s="4">
        <v>31258</v>
      </c>
      <c r="L55" s="4" t="s">
        <v>168</v>
      </c>
      <c r="M55" s="4" t="s">
        <v>172</v>
      </c>
      <c r="P55" s="4">
        <f t="shared" ref="P55:P74" si="5">I55-H55</f>
        <v>180</v>
      </c>
      <c r="S55" s="4">
        <v>80</v>
      </c>
    </row>
    <row r="56" spans="1:19" x14ac:dyDescent="0.25">
      <c r="A56" s="2" t="s">
        <v>115</v>
      </c>
      <c r="B56" s="4">
        <v>3</v>
      </c>
      <c r="C56" s="8" t="s">
        <v>116</v>
      </c>
      <c r="D56" s="8" t="s">
        <v>102</v>
      </c>
      <c r="E56" s="8" t="s">
        <v>103</v>
      </c>
      <c r="F56" s="8" t="s">
        <v>104</v>
      </c>
      <c r="G56" s="4" t="s">
        <v>174</v>
      </c>
      <c r="H56" s="4">
        <f t="shared" si="4"/>
        <v>240</v>
      </c>
      <c r="I56" s="4">
        <v>260</v>
      </c>
      <c r="J56" s="4">
        <v>31258</v>
      </c>
      <c r="L56" s="4" t="s">
        <v>168</v>
      </c>
      <c r="M56" s="4" t="s">
        <v>172</v>
      </c>
      <c r="P56" s="4">
        <f t="shared" si="5"/>
        <v>20</v>
      </c>
      <c r="S56" s="4">
        <v>80</v>
      </c>
    </row>
    <row r="57" spans="1:19" x14ac:dyDescent="0.25">
      <c r="H57" s="4">
        <f t="shared" si="4"/>
        <v>0</v>
      </c>
      <c r="P57" s="4">
        <f t="shared" si="5"/>
        <v>0</v>
      </c>
      <c r="S57" s="4">
        <v>80</v>
      </c>
    </row>
    <row r="58" spans="1:19" x14ac:dyDescent="0.25">
      <c r="A58" s="2" t="s">
        <v>117</v>
      </c>
      <c r="B58" s="4">
        <v>1</v>
      </c>
      <c r="C58" s="8" t="s">
        <v>118</v>
      </c>
      <c r="D58" s="8" t="s">
        <v>119</v>
      </c>
      <c r="E58" s="8" t="s">
        <v>120</v>
      </c>
      <c r="F58" s="8" t="s">
        <v>121</v>
      </c>
      <c r="G58" s="4" t="s">
        <v>174</v>
      </c>
      <c r="H58" s="4">
        <f t="shared" si="4"/>
        <v>80</v>
      </c>
      <c r="I58" s="4">
        <v>90</v>
      </c>
      <c r="J58" s="4">
        <v>31258</v>
      </c>
      <c r="L58" s="4" t="s">
        <v>168</v>
      </c>
      <c r="M58" s="4" t="s">
        <v>172</v>
      </c>
      <c r="N58" s="6">
        <v>44819</v>
      </c>
      <c r="P58" s="4">
        <f t="shared" si="5"/>
        <v>10</v>
      </c>
      <c r="S58" s="4">
        <v>80</v>
      </c>
    </row>
    <row r="59" spans="1:19" x14ac:dyDescent="0.25">
      <c r="A59" s="2" t="s">
        <v>195</v>
      </c>
      <c r="B59" s="4">
        <v>2</v>
      </c>
      <c r="C59" s="8" t="s">
        <v>122</v>
      </c>
      <c r="D59" s="8" t="s">
        <v>123</v>
      </c>
      <c r="F59" s="8" t="s">
        <v>124</v>
      </c>
      <c r="G59" s="4" t="s">
        <v>174</v>
      </c>
      <c r="H59" s="4">
        <f t="shared" si="4"/>
        <v>160</v>
      </c>
      <c r="I59" s="4">
        <v>170</v>
      </c>
      <c r="J59" s="4">
        <v>31258</v>
      </c>
      <c r="L59" s="4" t="s">
        <v>168</v>
      </c>
      <c r="M59" s="4" t="s">
        <v>172</v>
      </c>
      <c r="P59" s="4">
        <f t="shared" si="5"/>
        <v>10</v>
      </c>
      <c r="S59" s="4">
        <v>80</v>
      </c>
    </row>
    <row r="60" spans="1:19" x14ac:dyDescent="0.25">
      <c r="H60" s="4">
        <f t="shared" si="4"/>
        <v>0</v>
      </c>
      <c r="P60" s="4">
        <f t="shared" si="5"/>
        <v>0</v>
      </c>
      <c r="S60" s="4">
        <v>80</v>
      </c>
    </row>
    <row r="61" spans="1:19" x14ac:dyDescent="0.25">
      <c r="H61" s="4">
        <f t="shared" si="4"/>
        <v>0</v>
      </c>
      <c r="P61" s="4">
        <f t="shared" si="5"/>
        <v>0</v>
      </c>
      <c r="S61" s="4">
        <v>80</v>
      </c>
    </row>
    <row r="62" spans="1:19" ht="15.75" thickBot="1" x14ac:dyDescent="0.3">
      <c r="A62" s="2" t="s">
        <v>125</v>
      </c>
      <c r="B62" s="4">
        <v>1</v>
      </c>
      <c r="C62" s="8" t="s">
        <v>126</v>
      </c>
      <c r="D62" s="8" t="s">
        <v>126</v>
      </c>
      <c r="E62" s="8" t="s">
        <v>127</v>
      </c>
      <c r="F62" s="8" t="s">
        <v>128</v>
      </c>
      <c r="G62" s="4" t="s">
        <v>174</v>
      </c>
      <c r="H62" s="4">
        <f t="shared" si="4"/>
        <v>80</v>
      </c>
      <c r="I62" s="4">
        <v>100</v>
      </c>
      <c r="J62" s="4">
        <v>31258</v>
      </c>
      <c r="L62" s="4" t="s">
        <v>168</v>
      </c>
      <c r="M62" s="4" t="s">
        <v>172</v>
      </c>
      <c r="P62" s="4">
        <f t="shared" si="5"/>
        <v>20</v>
      </c>
      <c r="S62" s="4">
        <v>80</v>
      </c>
    </row>
    <row r="63" spans="1:19" s="18" customFormat="1" ht="16.5" thickTop="1" thickBot="1" x14ac:dyDescent="0.3">
      <c r="A63" s="13" t="s">
        <v>129</v>
      </c>
      <c r="B63" s="14">
        <v>2</v>
      </c>
      <c r="C63" s="15" t="s">
        <v>130</v>
      </c>
      <c r="D63" s="15" t="s">
        <v>130</v>
      </c>
      <c r="E63" s="15" t="s">
        <v>131</v>
      </c>
      <c r="F63" s="15" t="s">
        <v>132</v>
      </c>
      <c r="G63" s="14"/>
      <c r="H63" s="14">
        <f t="shared" si="4"/>
        <v>160</v>
      </c>
      <c r="I63" s="16">
        <v>0</v>
      </c>
      <c r="J63" s="16" t="s">
        <v>196</v>
      </c>
      <c r="K63" s="16"/>
      <c r="L63" s="16" t="s">
        <v>172</v>
      </c>
      <c r="M63" s="16" t="s">
        <v>172</v>
      </c>
      <c r="N63" s="16" t="s">
        <v>208</v>
      </c>
      <c r="O63" s="16"/>
      <c r="P63" s="17"/>
      <c r="Q63" s="16"/>
      <c r="R63" s="16"/>
      <c r="S63" s="16">
        <v>80</v>
      </c>
    </row>
    <row r="64" spans="1:19" ht="15.75" thickTop="1" x14ac:dyDescent="0.25">
      <c r="A64" s="2" t="s">
        <v>133</v>
      </c>
      <c r="B64" s="4">
        <v>2</v>
      </c>
      <c r="C64" s="8">
        <v>4094</v>
      </c>
      <c r="D64" s="8">
        <v>4094</v>
      </c>
      <c r="E64" s="8" t="s">
        <v>134</v>
      </c>
      <c r="F64" s="8" t="s">
        <v>135</v>
      </c>
      <c r="G64" s="4" t="s">
        <v>174</v>
      </c>
      <c r="H64" s="4">
        <f t="shared" si="4"/>
        <v>160</v>
      </c>
      <c r="I64" s="4">
        <v>170</v>
      </c>
      <c r="J64" s="4">
        <v>31258</v>
      </c>
      <c r="L64" s="4" t="s">
        <v>168</v>
      </c>
      <c r="M64" s="4" t="s">
        <v>172</v>
      </c>
      <c r="P64" s="4">
        <f t="shared" si="5"/>
        <v>10</v>
      </c>
      <c r="S64" s="4">
        <v>80</v>
      </c>
    </row>
    <row r="65" spans="1:19" x14ac:dyDescent="0.25">
      <c r="A65" s="2" t="s">
        <v>136</v>
      </c>
      <c r="B65" s="4">
        <v>1</v>
      </c>
      <c r="C65" s="8">
        <v>4069</v>
      </c>
      <c r="D65" s="8">
        <v>4069</v>
      </c>
      <c r="E65" s="8" t="s">
        <v>137</v>
      </c>
      <c r="F65" s="8" t="s">
        <v>138</v>
      </c>
      <c r="G65" s="4" t="s">
        <v>174</v>
      </c>
      <c r="H65" s="4">
        <f t="shared" si="4"/>
        <v>80</v>
      </c>
      <c r="I65" s="4">
        <v>100</v>
      </c>
      <c r="J65" s="4">
        <v>31258</v>
      </c>
      <c r="L65" s="4" t="s">
        <v>168</v>
      </c>
      <c r="M65" s="4" t="s">
        <v>172</v>
      </c>
      <c r="P65" s="4">
        <f t="shared" si="5"/>
        <v>20</v>
      </c>
      <c r="S65" s="4">
        <v>80</v>
      </c>
    </row>
    <row r="66" spans="1:19" x14ac:dyDescent="0.25">
      <c r="A66" s="2" t="s">
        <v>139</v>
      </c>
      <c r="B66" s="4">
        <v>4</v>
      </c>
      <c r="C66" s="8">
        <v>4081</v>
      </c>
      <c r="D66" s="8">
        <v>4081</v>
      </c>
      <c r="E66" s="8" t="s">
        <v>137</v>
      </c>
      <c r="F66" s="8" t="s">
        <v>140</v>
      </c>
      <c r="G66" s="4" t="s">
        <v>174</v>
      </c>
      <c r="H66" s="4">
        <f t="shared" si="4"/>
        <v>320</v>
      </c>
      <c r="I66" s="4">
        <v>340</v>
      </c>
      <c r="J66" s="4">
        <v>31258</v>
      </c>
      <c r="L66" s="4" t="s">
        <v>168</v>
      </c>
      <c r="M66" s="4" t="s">
        <v>172</v>
      </c>
      <c r="P66" s="4">
        <f t="shared" si="5"/>
        <v>20</v>
      </c>
      <c r="S66" s="4">
        <v>80</v>
      </c>
    </row>
    <row r="67" spans="1:19" x14ac:dyDescent="0.25">
      <c r="A67" s="2" t="s">
        <v>141</v>
      </c>
      <c r="B67" s="4">
        <v>2</v>
      </c>
      <c r="C67" s="8" t="s">
        <v>142</v>
      </c>
      <c r="D67" s="8" t="s">
        <v>142</v>
      </c>
      <c r="E67" s="8" t="s">
        <v>137</v>
      </c>
      <c r="F67" s="8" t="s">
        <v>143</v>
      </c>
      <c r="G67" s="4" t="s">
        <v>174</v>
      </c>
      <c r="H67" s="4">
        <f t="shared" si="4"/>
        <v>160</v>
      </c>
      <c r="I67" s="4">
        <v>170</v>
      </c>
      <c r="J67" s="4">
        <v>31258</v>
      </c>
      <c r="L67" s="4" t="s">
        <v>168</v>
      </c>
      <c r="M67" s="4" t="s">
        <v>172</v>
      </c>
      <c r="P67" s="4">
        <f t="shared" si="5"/>
        <v>10</v>
      </c>
      <c r="S67" s="4">
        <v>80</v>
      </c>
    </row>
    <row r="68" spans="1:19" x14ac:dyDescent="0.25">
      <c r="A68" s="2" t="s">
        <v>144</v>
      </c>
      <c r="B68" s="4">
        <v>3</v>
      </c>
      <c r="C68" s="8" t="s">
        <v>145</v>
      </c>
      <c r="D68" s="8" t="s">
        <v>145</v>
      </c>
      <c r="E68" s="8" t="s">
        <v>146</v>
      </c>
      <c r="F68" s="8" t="s">
        <v>147</v>
      </c>
      <c r="G68" s="4" t="s">
        <v>174</v>
      </c>
      <c r="H68" s="4">
        <f t="shared" si="4"/>
        <v>240</v>
      </c>
      <c r="I68" s="4">
        <v>252</v>
      </c>
      <c r="J68" s="4">
        <v>31258</v>
      </c>
      <c r="L68" s="4" t="s">
        <v>168</v>
      </c>
      <c r="M68" s="4" t="s">
        <v>172</v>
      </c>
      <c r="P68" s="4">
        <f t="shared" si="5"/>
        <v>12</v>
      </c>
      <c r="S68" s="4">
        <v>80</v>
      </c>
    </row>
    <row r="69" spans="1:19" x14ac:dyDescent="0.25">
      <c r="A69" s="2" t="s">
        <v>148</v>
      </c>
      <c r="B69" s="4">
        <v>1</v>
      </c>
      <c r="C69" s="8" t="s">
        <v>149</v>
      </c>
      <c r="D69" s="8" t="s">
        <v>149</v>
      </c>
      <c r="E69" s="8" t="s">
        <v>150</v>
      </c>
      <c r="F69" s="8" t="s">
        <v>151</v>
      </c>
      <c r="G69" s="4" t="s">
        <v>167</v>
      </c>
      <c r="H69" s="4">
        <f t="shared" si="4"/>
        <v>80</v>
      </c>
      <c r="I69" s="4">
        <v>84</v>
      </c>
      <c r="J69" s="4">
        <v>31361</v>
      </c>
      <c r="L69" s="4" t="s">
        <v>168</v>
      </c>
      <c r="M69" s="4" t="s">
        <v>172</v>
      </c>
      <c r="P69" s="4">
        <f t="shared" si="5"/>
        <v>4</v>
      </c>
      <c r="S69" s="4">
        <v>80</v>
      </c>
    </row>
    <row r="70" spans="1:19" s="18" customFormat="1" x14ac:dyDescent="0.25">
      <c r="A70" s="19" t="s">
        <v>152</v>
      </c>
      <c r="B70" s="16">
        <v>1</v>
      </c>
      <c r="C70" s="20" t="s">
        <v>153</v>
      </c>
      <c r="D70" s="20" t="s">
        <v>153</v>
      </c>
      <c r="E70" s="20" t="s">
        <v>154</v>
      </c>
      <c r="F70" s="20" t="s">
        <v>155</v>
      </c>
      <c r="G70" s="16"/>
      <c r="H70" s="16">
        <f t="shared" si="4"/>
        <v>80</v>
      </c>
      <c r="I70" s="16">
        <v>0</v>
      </c>
      <c r="J70" s="16"/>
      <c r="K70" s="16"/>
      <c r="L70" s="16" t="s">
        <v>172</v>
      </c>
      <c r="M70" s="16" t="s">
        <v>172</v>
      </c>
      <c r="N70" s="16" t="s">
        <v>207</v>
      </c>
      <c r="O70" s="16"/>
      <c r="P70" s="16"/>
      <c r="Q70" s="16"/>
      <c r="R70" s="16"/>
      <c r="S70" s="16">
        <v>80</v>
      </c>
    </row>
    <row r="71" spans="1:19" x14ac:dyDescent="0.25">
      <c r="A71" s="2" t="s">
        <v>156</v>
      </c>
      <c r="B71" s="4">
        <v>3</v>
      </c>
      <c r="C71" s="8" t="s">
        <v>157</v>
      </c>
      <c r="D71" s="8" t="s">
        <v>157</v>
      </c>
      <c r="E71" s="8" t="s">
        <v>137</v>
      </c>
      <c r="F71" s="8" t="s">
        <v>158</v>
      </c>
      <c r="G71" s="4" t="s">
        <v>167</v>
      </c>
      <c r="H71" s="4">
        <f t="shared" si="4"/>
        <v>240</v>
      </c>
      <c r="I71" s="4">
        <v>250</v>
      </c>
      <c r="J71" s="4">
        <v>31244</v>
      </c>
      <c r="L71" s="4" t="s">
        <v>168</v>
      </c>
      <c r="M71" s="4" t="s">
        <v>168</v>
      </c>
      <c r="N71" s="4" t="s">
        <v>168</v>
      </c>
      <c r="P71" s="4">
        <f t="shared" si="5"/>
        <v>10</v>
      </c>
      <c r="S71" s="4">
        <v>80</v>
      </c>
    </row>
    <row r="72" spans="1:19" x14ac:dyDescent="0.25">
      <c r="H72" s="4">
        <f t="shared" si="4"/>
        <v>0</v>
      </c>
      <c r="P72" s="4">
        <f t="shared" si="5"/>
        <v>0</v>
      </c>
      <c r="S72" s="4">
        <v>80</v>
      </c>
    </row>
    <row r="73" spans="1:19" x14ac:dyDescent="0.25">
      <c r="A73" s="2" t="s">
        <v>159</v>
      </c>
      <c r="B73" s="4">
        <v>2</v>
      </c>
      <c r="C73" s="8" t="s">
        <v>160</v>
      </c>
      <c r="D73" s="8" t="s">
        <v>161</v>
      </c>
      <c r="E73" s="8" t="s">
        <v>162</v>
      </c>
      <c r="F73" s="8" t="s">
        <v>163</v>
      </c>
      <c r="G73" s="4" t="s">
        <v>174</v>
      </c>
      <c r="H73" s="4">
        <f t="shared" si="4"/>
        <v>160</v>
      </c>
      <c r="I73" s="4">
        <v>170</v>
      </c>
      <c r="J73" s="4">
        <v>31258</v>
      </c>
      <c r="L73" s="4" t="s">
        <v>168</v>
      </c>
      <c r="M73" s="4" t="s">
        <v>172</v>
      </c>
      <c r="P73" s="4">
        <f t="shared" si="5"/>
        <v>10</v>
      </c>
      <c r="S73" s="4">
        <v>80</v>
      </c>
    </row>
    <row r="74" spans="1:19" x14ac:dyDescent="0.25">
      <c r="H74" s="4">
        <f t="shared" si="4"/>
        <v>0</v>
      </c>
      <c r="P74" s="4">
        <f t="shared" si="5"/>
        <v>0</v>
      </c>
      <c r="S74" s="4">
        <v>80</v>
      </c>
    </row>
    <row r="75" spans="1:19" x14ac:dyDescent="0.25">
      <c r="H75" s="4">
        <f t="shared" si="4"/>
        <v>0</v>
      </c>
      <c r="S75" s="4">
        <v>80</v>
      </c>
    </row>
    <row r="76" spans="1:19" x14ac:dyDescent="0.25">
      <c r="H76" s="4">
        <f t="shared" si="4"/>
        <v>0</v>
      </c>
      <c r="S76" s="4">
        <v>80</v>
      </c>
    </row>
    <row r="77" spans="1:19" x14ac:dyDescent="0.25">
      <c r="H77" s="4">
        <f t="shared" si="4"/>
        <v>0</v>
      </c>
      <c r="S77" s="4">
        <v>80</v>
      </c>
    </row>
    <row r="78" spans="1:19" x14ac:dyDescent="0.25">
      <c r="H78" s="4">
        <f t="shared" si="4"/>
        <v>0</v>
      </c>
      <c r="S78" s="4">
        <v>80</v>
      </c>
    </row>
    <row r="79" spans="1:19" x14ac:dyDescent="0.25">
      <c r="H79" s="4">
        <f t="shared" si="4"/>
        <v>0</v>
      </c>
      <c r="S79" s="4">
        <v>80</v>
      </c>
    </row>
    <row r="80" spans="1:19" x14ac:dyDescent="0.25">
      <c r="H80" s="4">
        <f t="shared" si="4"/>
        <v>0</v>
      </c>
      <c r="S80" s="4">
        <v>80</v>
      </c>
    </row>
    <row r="81" spans="8:19" x14ac:dyDescent="0.25">
      <c r="H81" s="4">
        <f t="shared" si="4"/>
        <v>0</v>
      </c>
      <c r="S81" s="4">
        <v>80</v>
      </c>
    </row>
    <row r="82" spans="8:19" x14ac:dyDescent="0.25">
      <c r="H82" s="4">
        <f t="shared" si="4"/>
        <v>0</v>
      </c>
    </row>
    <row r="83" spans="8:19" x14ac:dyDescent="0.25">
      <c r="H83" s="4">
        <f t="shared" si="4"/>
        <v>0</v>
      </c>
    </row>
    <row r="84" spans="8:19" x14ac:dyDescent="0.25">
      <c r="H84" s="4">
        <f t="shared" si="4"/>
        <v>0</v>
      </c>
    </row>
  </sheetData>
  <conditionalFormatting sqref="N16 N18:N20 N26 L17:N17 L1:N15 L27:N37 L46:N47 L21:N25 N39:N44 L49:N49 N48 L57:N57 N52:N56 L60:N61 N58:N59 L63:N63 N62 L74:N1048576 N64:N70 N72:N73 L51:N51 N50">
    <cfRule type="cellIs" dxfId="458" priority="233" operator="equal">
      <formula>"n"</formula>
    </cfRule>
    <cfRule type="cellIs" dxfId="457" priority="235" operator="equal">
      <formula>"y"</formula>
    </cfRule>
  </conditionalFormatting>
  <conditionalFormatting sqref="H1:H1048576">
    <cfRule type="cellIs" dxfId="456" priority="234" operator="equal">
      <formula>0</formula>
    </cfRule>
  </conditionalFormatting>
  <conditionalFormatting sqref="P1:P1048576">
    <cfRule type="cellIs" dxfId="455" priority="230" operator="greaterThan">
      <formula>0</formula>
    </cfRule>
    <cfRule type="cellIs" dxfId="454" priority="231" operator="lessThan">
      <formula>0</formula>
    </cfRule>
    <cfRule type="cellIs" dxfId="453" priority="232" operator="equal">
      <formula>0</formula>
    </cfRule>
  </conditionalFormatting>
  <conditionalFormatting sqref="J27:J30 J17 J1:J15 J35:J37 J46:J47 J21:J25 J49 J57 J60:J61 J63 J74:J1048576">
    <cfRule type="cellIs" dxfId="452" priority="226" operator="equal">
      <formula>$J$10</formula>
    </cfRule>
    <cfRule type="cellIs" dxfId="451" priority="227" operator="equal">
      <formula>$J$9</formula>
    </cfRule>
    <cfRule type="cellIs" dxfId="450" priority="228" operator="equal">
      <formula>$J$5</formula>
    </cfRule>
    <cfRule type="cellIs" dxfId="449" priority="229" operator="equal">
      <formula>$J$3</formula>
    </cfRule>
  </conditionalFormatting>
  <conditionalFormatting sqref="L16:M16">
    <cfRule type="cellIs" dxfId="448" priority="224" operator="equal">
      <formula>"n"</formula>
    </cfRule>
    <cfRule type="cellIs" dxfId="447" priority="225" operator="equal">
      <formula>"y"</formula>
    </cfRule>
  </conditionalFormatting>
  <conditionalFormatting sqref="J16">
    <cfRule type="cellIs" dxfId="446" priority="220" operator="equal">
      <formula>$J$10</formula>
    </cfRule>
    <cfRule type="cellIs" dxfId="445" priority="221" operator="equal">
      <formula>$J$9</formula>
    </cfRule>
    <cfRule type="cellIs" dxfId="444" priority="222" operator="equal">
      <formula>$J$5</formula>
    </cfRule>
    <cfRule type="cellIs" dxfId="443" priority="223" operator="equal">
      <formula>$J$3</formula>
    </cfRule>
  </conditionalFormatting>
  <conditionalFormatting sqref="L18:M18">
    <cfRule type="cellIs" dxfId="442" priority="218" operator="equal">
      <formula>"n"</formula>
    </cfRule>
    <cfRule type="cellIs" dxfId="441" priority="219" operator="equal">
      <formula>"y"</formula>
    </cfRule>
  </conditionalFormatting>
  <conditionalFormatting sqref="J18">
    <cfRule type="cellIs" dxfId="440" priority="214" operator="equal">
      <formula>$J$10</formula>
    </cfRule>
    <cfRule type="cellIs" dxfId="439" priority="215" operator="equal">
      <formula>$J$9</formula>
    </cfRule>
    <cfRule type="cellIs" dxfId="438" priority="216" operator="equal">
      <formula>$J$5</formula>
    </cfRule>
    <cfRule type="cellIs" dxfId="437" priority="217" operator="equal">
      <formula>$J$3</formula>
    </cfRule>
  </conditionalFormatting>
  <conditionalFormatting sqref="L19:M19">
    <cfRule type="cellIs" dxfId="436" priority="212" operator="equal">
      <formula>"n"</formula>
    </cfRule>
    <cfRule type="cellIs" dxfId="435" priority="213" operator="equal">
      <formula>"y"</formula>
    </cfRule>
  </conditionalFormatting>
  <conditionalFormatting sqref="J19">
    <cfRule type="cellIs" dxfId="434" priority="208" operator="equal">
      <formula>$J$10</formula>
    </cfRule>
    <cfRule type="cellIs" dxfId="433" priority="209" operator="equal">
      <formula>$J$9</formula>
    </cfRule>
    <cfRule type="cellIs" dxfId="432" priority="210" operator="equal">
      <formula>$J$5</formula>
    </cfRule>
    <cfRule type="cellIs" dxfId="431" priority="211" operator="equal">
      <formula>$J$3</formula>
    </cfRule>
  </conditionalFormatting>
  <conditionalFormatting sqref="L20:M20">
    <cfRule type="cellIs" dxfId="430" priority="206" operator="equal">
      <formula>"n"</formula>
    </cfRule>
    <cfRule type="cellIs" dxfId="429" priority="207" operator="equal">
      <formula>"y"</formula>
    </cfRule>
  </conditionalFormatting>
  <conditionalFormatting sqref="J20">
    <cfRule type="cellIs" dxfId="428" priority="202" operator="equal">
      <formula>$J$10</formula>
    </cfRule>
    <cfRule type="cellIs" dxfId="427" priority="203" operator="equal">
      <formula>$J$9</formula>
    </cfRule>
    <cfRule type="cellIs" dxfId="426" priority="204" operator="equal">
      <formula>$J$5</formula>
    </cfRule>
    <cfRule type="cellIs" dxfId="425" priority="205" operator="equal">
      <formula>$J$3</formula>
    </cfRule>
  </conditionalFormatting>
  <conditionalFormatting sqref="L26:M26">
    <cfRule type="cellIs" dxfId="424" priority="200" operator="equal">
      <formula>"n"</formula>
    </cfRule>
    <cfRule type="cellIs" dxfId="423" priority="201" operator="equal">
      <formula>"y"</formula>
    </cfRule>
  </conditionalFormatting>
  <conditionalFormatting sqref="J26">
    <cfRule type="cellIs" dxfId="422" priority="196" operator="equal">
      <formula>$J$10</formula>
    </cfRule>
    <cfRule type="cellIs" dxfId="421" priority="197" operator="equal">
      <formula>$J$9</formula>
    </cfRule>
    <cfRule type="cellIs" dxfId="420" priority="198" operator="equal">
      <formula>$J$5</formula>
    </cfRule>
    <cfRule type="cellIs" dxfId="419" priority="199" operator="equal">
      <formula>$J$3</formula>
    </cfRule>
  </conditionalFormatting>
  <conditionalFormatting sqref="J31">
    <cfRule type="cellIs" dxfId="418" priority="192" operator="equal">
      <formula>$J$10</formula>
    </cfRule>
    <cfRule type="cellIs" dxfId="417" priority="193" operator="equal">
      <formula>$J$9</formula>
    </cfRule>
    <cfRule type="cellIs" dxfId="416" priority="194" operator="equal">
      <formula>$J$5</formula>
    </cfRule>
    <cfRule type="cellIs" dxfId="415" priority="195" operator="equal">
      <formula>$J$3</formula>
    </cfRule>
  </conditionalFormatting>
  <conditionalFormatting sqref="J32">
    <cfRule type="cellIs" dxfId="414" priority="188" operator="equal">
      <formula>$J$10</formula>
    </cfRule>
    <cfRule type="cellIs" dxfId="413" priority="189" operator="equal">
      <formula>$J$9</formula>
    </cfRule>
    <cfRule type="cellIs" dxfId="412" priority="190" operator="equal">
      <formula>$J$5</formula>
    </cfRule>
    <cfRule type="cellIs" dxfId="411" priority="191" operator="equal">
      <formula>$J$3</formula>
    </cfRule>
  </conditionalFormatting>
  <conditionalFormatting sqref="J33">
    <cfRule type="cellIs" dxfId="410" priority="184" operator="equal">
      <formula>$J$10</formula>
    </cfRule>
    <cfRule type="cellIs" dxfId="409" priority="185" operator="equal">
      <formula>$J$9</formula>
    </cfRule>
    <cfRule type="cellIs" dxfId="408" priority="186" operator="equal">
      <formula>$J$5</formula>
    </cfRule>
    <cfRule type="cellIs" dxfId="407" priority="187" operator="equal">
      <formula>$J$3</formula>
    </cfRule>
  </conditionalFormatting>
  <conditionalFormatting sqref="J34">
    <cfRule type="cellIs" dxfId="406" priority="180" operator="equal">
      <formula>$J$10</formula>
    </cfRule>
    <cfRule type="cellIs" dxfId="405" priority="181" operator="equal">
      <formula>$J$9</formula>
    </cfRule>
    <cfRule type="cellIs" dxfId="404" priority="182" operator="equal">
      <formula>$J$5</formula>
    </cfRule>
    <cfRule type="cellIs" dxfId="403" priority="183" operator="equal">
      <formula>$J$3</formula>
    </cfRule>
  </conditionalFormatting>
  <conditionalFormatting sqref="L38:N38">
    <cfRule type="cellIs" dxfId="402" priority="178" operator="equal">
      <formula>"n"</formula>
    </cfRule>
    <cfRule type="cellIs" dxfId="401" priority="179" operator="equal">
      <formula>"y"</formula>
    </cfRule>
  </conditionalFormatting>
  <conditionalFormatting sqref="J38">
    <cfRule type="cellIs" dxfId="400" priority="174" operator="equal">
      <formula>$J$10</formula>
    </cfRule>
    <cfRule type="cellIs" dxfId="399" priority="175" operator="equal">
      <formula>$J$9</formula>
    </cfRule>
    <cfRule type="cellIs" dxfId="398" priority="176" operator="equal">
      <formula>$J$5</formula>
    </cfRule>
    <cfRule type="cellIs" dxfId="397" priority="177" operator="equal">
      <formula>$J$3</formula>
    </cfRule>
  </conditionalFormatting>
  <conditionalFormatting sqref="L39:M42">
    <cfRule type="cellIs" dxfId="396" priority="172" operator="equal">
      <formula>"n"</formula>
    </cfRule>
    <cfRule type="cellIs" dxfId="395" priority="173" operator="equal">
      <formula>"y"</formula>
    </cfRule>
  </conditionalFormatting>
  <conditionalFormatting sqref="J39">
    <cfRule type="cellIs" dxfId="394" priority="168" operator="equal">
      <formula>$J$10</formula>
    </cfRule>
    <cfRule type="cellIs" dxfId="393" priority="169" operator="equal">
      <formula>$J$9</formula>
    </cfRule>
    <cfRule type="cellIs" dxfId="392" priority="170" operator="equal">
      <formula>$J$5</formula>
    </cfRule>
    <cfRule type="cellIs" dxfId="391" priority="171" operator="equal">
      <formula>$J$3</formula>
    </cfRule>
  </conditionalFormatting>
  <conditionalFormatting sqref="J40">
    <cfRule type="cellIs" dxfId="390" priority="164" operator="equal">
      <formula>$J$10</formula>
    </cfRule>
    <cfRule type="cellIs" dxfId="389" priority="165" operator="equal">
      <formula>$J$9</formula>
    </cfRule>
    <cfRule type="cellIs" dxfId="388" priority="166" operator="equal">
      <formula>$J$5</formula>
    </cfRule>
    <cfRule type="cellIs" dxfId="387" priority="167" operator="equal">
      <formula>$J$3</formula>
    </cfRule>
  </conditionalFormatting>
  <conditionalFormatting sqref="J41">
    <cfRule type="cellIs" dxfId="386" priority="160" operator="equal">
      <formula>$J$10</formula>
    </cfRule>
    <cfRule type="cellIs" dxfId="385" priority="161" operator="equal">
      <formula>$J$9</formula>
    </cfRule>
    <cfRule type="cellIs" dxfId="384" priority="162" operator="equal">
      <formula>$J$5</formula>
    </cfRule>
    <cfRule type="cellIs" dxfId="383" priority="163" operator="equal">
      <formula>$J$3</formula>
    </cfRule>
  </conditionalFormatting>
  <conditionalFormatting sqref="J42">
    <cfRule type="cellIs" dxfId="382" priority="156" operator="equal">
      <formula>$J$10</formula>
    </cfRule>
    <cfRule type="cellIs" dxfId="381" priority="157" operator="equal">
      <formula>$J$9</formula>
    </cfRule>
    <cfRule type="cellIs" dxfId="380" priority="158" operator="equal">
      <formula>$J$5</formula>
    </cfRule>
    <cfRule type="cellIs" dxfId="379" priority="159" operator="equal">
      <formula>$J$3</formula>
    </cfRule>
  </conditionalFormatting>
  <conditionalFormatting sqref="L43:M44">
    <cfRule type="cellIs" dxfId="378" priority="154" operator="equal">
      <formula>"n"</formula>
    </cfRule>
    <cfRule type="cellIs" dxfId="377" priority="155" operator="equal">
      <formula>"y"</formula>
    </cfRule>
  </conditionalFormatting>
  <conditionalFormatting sqref="J43">
    <cfRule type="cellIs" dxfId="376" priority="150" operator="equal">
      <formula>$J$10</formula>
    </cfRule>
    <cfRule type="cellIs" dxfId="375" priority="151" operator="equal">
      <formula>$J$9</formula>
    </cfRule>
    <cfRule type="cellIs" dxfId="374" priority="152" operator="equal">
      <formula>$J$5</formula>
    </cfRule>
    <cfRule type="cellIs" dxfId="373" priority="153" operator="equal">
      <formula>$J$3</formula>
    </cfRule>
  </conditionalFormatting>
  <conditionalFormatting sqref="J44">
    <cfRule type="cellIs" dxfId="372" priority="146" operator="equal">
      <formula>$J$10</formula>
    </cfRule>
    <cfRule type="cellIs" dxfId="371" priority="147" operator="equal">
      <formula>$J$9</formula>
    </cfRule>
    <cfRule type="cellIs" dxfId="370" priority="148" operator="equal">
      <formula>$J$5</formula>
    </cfRule>
    <cfRule type="cellIs" dxfId="369" priority="149" operator="equal">
      <formula>$J$3</formula>
    </cfRule>
  </conditionalFormatting>
  <conditionalFormatting sqref="J45">
    <cfRule type="cellIs" dxfId="368" priority="142" operator="equal">
      <formula>$J$10</formula>
    </cfRule>
    <cfRule type="cellIs" dxfId="367" priority="143" operator="equal">
      <formula>$J$9</formula>
    </cfRule>
    <cfRule type="cellIs" dxfId="366" priority="144" operator="equal">
      <formula>$J$5</formula>
    </cfRule>
    <cfRule type="cellIs" dxfId="365" priority="145" operator="equal">
      <formula>$J$3</formula>
    </cfRule>
  </conditionalFormatting>
  <conditionalFormatting sqref="L45:N45">
    <cfRule type="cellIs" dxfId="364" priority="140" operator="equal">
      <formula>"n"</formula>
    </cfRule>
    <cfRule type="cellIs" dxfId="363" priority="141" operator="equal">
      <formula>"y"</formula>
    </cfRule>
  </conditionalFormatting>
  <conditionalFormatting sqref="L48:M48">
    <cfRule type="cellIs" dxfId="362" priority="138" operator="equal">
      <formula>"n"</formula>
    </cfRule>
    <cfRule type="cellIs" dxfId="361" priority="139" operator="equal">
      <formula>"y"</formula>
    </cfRule>
  </conditionalFormatting>
  <conditionalFormatting sqref="J48">
    <cfRule type="cellIs" dxfId="360" priority="134" operator="equal">
      <formula>$J$10</formula>
    </cfRule>
    <cfRule type="cellIs" dxfId="359" priority="135" operator="equal">
      <formula>$J$9</formula>
    </cfRule>
    <cfRule type="cellIs" dxfId="358" priority="136" operator="equal">
      <formula>$J$5</formula>
    </cfRule>
    <cfRule type="cellIs" dxfId="357" priority="137" operator="equal">
      <formula>$J$3</formula>
    </cfRule>
  </conditionalFormatting>
  <conditionalFormatting sqref="J51">
    <cfRule type="cellIs" dxfId="356" priority="130" operator="equal">
      <formula>$J$10</formula>
    </cfRule>
    <cfRule type="cellIs" dxfId="355" priority="131" operator="equal">
      <formula>$J$9</formula>
    </cfRule>
    <cfRule type="cellIs" dxfId="354" priority="132" operator="equal">
      <formula>$J$5</formula>
    </cfRule>
    <cfRule type="cellIs" dxfId="353" priority="133" operator="equal">
      <formula>$J$3</formula>
    </cfRule>
  </conditionalFormatting>
  <conditionalFormatting sqref="K51">
    <cfRule type="cellIs" dxfId="352" priority="126" operator="equal">
      <formula>$J$10</formula>
    </cfRule>
    <cfRule type="cellIs" dxfId="351" priority="127" operator="equal">
      <formula>$J$9</formula>
    </cfRule>
    <cfRule type="cellIs" dxfId="350" priority="128" operator="equal">
      <formula>$J$5</formula>
    </cfRule>
    <cfRule type="cellIs" dxfId="349" priority="129" operator="equal">
      <formula>$J$3</formula>
    </cfRule>
  </conditionalFormatting>
  <conditionalFormatting sqref="L52:M52">
    <cfRule type="cellIs" dxfId="348" priority="124" operator="equal">
      <formula>"n"</formula>
    </cfRule>
    <cfRule type="cellIs" dxfId="347" priority="125" operator="equal">
      <formula>"y"</formula>
    </cfRule>
  </conditionalFormatting>
  <conditionalFormatting sqref="J52">
    <cfRule type="cellIs" dxfId="346" priority="120" operator="equal">
      <formula>$J$10</formula>
    </cfRule>
    <cfRule type="cellIs" dxfId="345" priority="121" operator="equal">
      <formula>$J$9</formula>
    </cfRule>
    <cfRule type="cellIs" dxfId="344" priority="122" operator="equal">
      <formula>$J$5</formula>
    </cfRule>
    <cfRule type="cellIs" dxfId="343" priority="123" operator="equal">
      <formula>$J$3</formula>
    </cfRule>
  </conditionalFormatting>
  <conditionalFormatting sqref="L53:M53">
    <cfRule type="cellIs" dxfId="342" priority="118" operator="equal">
      <formula>"n"</formula>
    </cfRule>
    <cfRule type="cellIs" dxfId="341" priority="119" operator="equal">
      <formula>"y"</formula>
    </cfRule>
  </conditionalFormatting>
  <conditionalFormatting sqref="J53">
    <cfRule type="cellIs" dxfId="340" priority="114" operator="equal">
      <formula>$J$10</formula>
    </cfRule>
    <cfRule type="cellIs" dxfId="339" priority="115" operator="equal">
      <formula>$J$9</formula>
    </cfRule>
    <cfRule type="cellIs" dxfId="338" priority="116" operator="equal">
      <formula>$J$5</formula>
    </cfRule>
    <cfRule type="cellIs" dxfId="337" priority="117" operator="equal">
      <formula>$J$3</formula>
    </cfRule>
  </conditionalFormatting>
  <conditionalFormatting sqref="L54:M54">
    <cfRule type="cellIs" dxfId="336" priority="112" operator="equal">
      <formula>"n"</formula>
    </cfRule>
    <cfRule type="cellIs" dxfId="335" priority="113" operator="equal">
      <formula>"y"</formula>
    </cfRule>
  </conditionalFormatting>
  <conditionalFormatting sqref="J54">
    <cfRule type="cellIs" dxfId="334" priority="108" operator="equal">
      <formula>$J$10</formula>
    </cfRule>
    <cfRule type="cellIs" dxfId="333" priority="109" operator="equal">
      <formula>$J$9</formula>
    </cfRule>
    <cfRule type="cellIs" dxfId="332" priority="110" operator="equal">
      <formula>$J$5</formula>
    </cfRule>
    <cfRule type="cellIs" dxfId="331" priority="111" operator="equal">
      <formula>$J$3</formula>
    </cfRule>
  </conditionalFormatting>
  <conditionalFormatting sqref="L55:M55">
    <cfRule type="cellIs" dxfId="330" priority="106" operator="equal">
      <formula>"n"</formula>
    </cfRule>
    <cfRule type="cellIs" dxfId="329" priority="107" operator="equal">
      <formula>"y"</formula>
    </cfRule>
  </conditionalFormatting>
  <conditionalFormatting sqref="J55">
    <cfRule type="cellIs" dxfId="328" priority="102" operator="equal">
      <formula>$J$10</formula>
    </cfRule>
    <cfRule type="cellIs" dxfId="327" priority="103" operator="equal">
      <formula>$J$9</formula>
    </cfRule>
    <cfRule type="cellIs" dxfId="326" priority="104" operator="equal">
      <formula>$J$5</formula>
    </cfRule>
    <cfRule type="cellIs" dxfId="325" priority="105" operator="equal">
      <formula>$J$3</formula>
    </cfRule>
  </conditionalFormatting>
  <conditionalFormatting sqref="L56:M56">
    <cfRule type="cellIs" dxfId="324" priority="100" operator="equal">
      <formula>"n"</formula>
    </cfRule>
    <cfRule type="cellIs" dxfId="323" priority="101" operator="equal">
      <formula>"y"</formula>
    </cfRule>
  </conditionalFormatting>
  <conditionalFormatting sqref="J56">
    <cfRule type="cellIs" dxfId="322" priority="96" operator="equal">
      <formula>$J$10</formula>
    </cfRule>
    <cfRule type="cellIs" dxfId="321" priority="97" operator="equal">
      <formula>$J$9</formula>
    </cfRule>
    <cfRule type="cellIs" dxfId="320" priority="98" operator="equal">
      <formula>$J$5</formula>
    </cfRule>
    <cfRule type="cellIs" dxfId="319" priority="99" operator="equal">
      <formula>$J$3</formula>
    </cfRule>
  </conditionalFormatting>
  <conditionalFormatting sqref="L58:M58">
    <cfRule type="cellIs" dxfId="318" priority="94" operator="equal">
      <formula>"n"</formula>
    </cfRule>
    <cfRule type="cellIs" dxfId="317" priority="95" operator="equal">
      <formula>"y"</formula>
    </cfRule>
  </conditionalFormatting>
  <conditionalFormatting sqref="J58">
    <cfRule type="cellIs" dxfId="316" priority="90" operator="equal">
      <formula>$J$10</formula>
    </cfRule>
    <cfRule type="cellIs" dxfId="315" priority="91" operator="equal">
      <formula>$J$9</formula>
    </cfRule>
    <cfRule type="cellIs" dxfId="314" priority="92" operator="equal">
      <formula>$J$5</formula>
    </cfRule>
    <cfRule type="cellIs" dxfId="313" priority="93" operator="equal">
      <formula>$J$3</formula>
    </cfRule>
  </conditionalFormatting>
  <conditionalFormatting sqref="L59:M59">
    <cfRule type="cellIs" dxfId="312" priority="88" operator="equal">
      <formula>"n"</formula>
    </cfRule>
    <cfRule type="cellIs" dxfId="311" priority="89" operator="equal">
      <formula>"y"</formula>
    </cfRule>
  </conditionalFormatting>
  <conditionalFormatting sqref="J59">
    <cfRule type="cellIs" dxfId="310" priority="84" operator="equal">
      <formula>$J$10</formula>
    </cfRule>
    <cfRule type="cellIs" dxfId="309" priority="85" operator="equal">
      <formula>$J$9</formula>
    </cfRule>
    <cfRule type="cellIs" dxfId="308" priority="86" operator="equal">
      <formula>$J$5</formula>
    </cfRule>
    <cfRule type="cellIs" dxfId="307" priority="87" operator="equal">
      <formula>$J$3</formula>
    </cfRule>
  </conditionalFormatting>
  <conditionalFormatting sqref="L62:M62">
    <cfRule type="cellIs" dxfId="306" priority="82" operator="equal">
      <formula>"n"</formula>
    </cfRule>
    <cfRule type="cellIs" dxfId="305" priority="83" operator="equal">
      <formula>"y"</formula>
    </cfRule>
  </conditionalFormatting>
  <conditionalFormatting sqref="J62">
    <cfRule type="cellIs" dxfId="304" priority="78" operator="equal">
      <formula>$J$10</formula>
    </cfRule>
    <cfRule type="cellIs" dxfId="303" priority="79" operator="equal">
      <formula>$J$9</formula>
    </cfRule>
    <cfRule type="cellIs" dxfId="302" priority="80" operator="equal">
      <formula>$J$5</formula>
    </cfRule>
    <cfRule type="cellIs" dxfId="301" priority="81" operator="equal">
      <formula>$J$3</formula>
    </cfRule>
  </conditionalFormatting>
  <conditionalFormatting sqref="L64:M64">
    <cfRule type="cellIs" dxfId="300" priority="76" operator="equal">
      <formula>"n"</formula>
    </cfRule>
    <cfRule type="cellIs" dxfId="299" priority="77" operator="equal">
      <formula>"y"</formula>
    </cfRule>
  </conditionalFormatting>
  <conditionalFormatting sqref="J64">
    <cfRule type="cellIs" dxfId="298" priority="72" operator="equal">
      <formula>$J$10</formula>
    </cfRule>
    <cfRule type="cellIs" dxfId="297" priority="73" operator="equal">
      <formula>$J$9</formula>
    </cfRule>
    <cfRule type="cellIs" dxfId="296" priority="74" operator="equal">
      <formula>$J$5</formula>
    </cfRule>
    <cfRule type="cellIs" dxfId="295" priority="75" operator="equal">
      <formula>$J$3</formula>
    </cfRule>
  </conditionalFormatting>
  <conditionalFormatting sqref="L65:M65">
    <cfRule type="cellIs" dxfId="294" priority="70" operator="equal">
      <formula>"n"</formula>
    </cfRule>
    <cfRule type="cellIs" dxfId="293" priority="71" operator="equal">
      <formula>"y"</formula>
    </cfRule>
  </conditionalFormatting>
  <conditionalFormatting sqref="J65">
    <cfRule type="cellIs" dxfId="292" priority="66" operator="equal">
      <formula>$J$10</formula>
    </cfRule>
    <cfRule type="cellIs" dxfId="291" priority="67" operator="equal">
      <formula>$J$9</formula>
    </cfRule>
    <cfRule type="cellIs" dxfId="290" priority="68" operator="equal">
      <formula>$J$5</formula>
    </cfRule>
    <cfRule type="cellIs" dxfId="289" priority="69" operator="equal">
      <formula>$J$3</formula>
    </cfRule>
  </conditionalFormatting>
  <conditionalFormatting sqref="L66:M66">
    <cfRule type="cellIs" dxfId="288" priority="64" operator="equal">
      <formula>"n"</formula>
    </cfRule>
    <cfRule type="cellIs" dxfId="287" priority="65" operator="equal">
      <formula>"y"</formula>
    </cfRule>
  </conditionalFormatting>
  <conditionalFormatting sqref="J66">
    <cfRule type="cellIs" dxfId="286" priority="60" operator="equal">
      <formula>$J$10</formula>
    </cfRule>
    <cfRule type="cellIs" dxfId="285" priority="61" operator="equal">
      <formula>$J$9</formula>
    </cfRule>
    <cfRule type="cellIs" dxfId="284" priority="62" operator="equal">
      <formula>$J$5</formula>
    </cfRule>
    <cfRule type="cellIs" dxfId="283" priority="63" operator="equal">
      <formula>$J$3</formula>
    </cfRule>
  </conditionalFormatting>
  <conditionalFormatting sqref="L67:M67">
    <cfRule type="cellIs" dxfId="282" priority="58" operator="equal">
      <formula>"n"</formula>
    </cfRule>
    <cfRule type="cellIs" dxfId="281" priority="59" operator="equal">
      <formula>"y"</formula>
    </cfRule>
  </conditionalFormatting>
  <conditionalFormatting sqref="J67">
    <cfRule type="cellIs" dxfId="280" priority="54" operator="equal">
      <formula>$J$10</formula>
    </cfRule>
    <cfRule type="cellIs" dxfId="279" priority="55" operator="equal">
      <formula>$J$9</formula>
    </cfRule>
    <cfRule type="cellIs" dxfId="278" priority="56" operator="equal">
      <formula>$J$5</formula>
    </cfRule>
    <cfRule type="cellIs" dxfId="277" priority="57" operator="equal">
      <formula>$J$3</formula>
    </cfRule>
  </conditionalFormatting>
  <conditionalFormatting sqref="L68:M68">
    <cfRule type="cellIs" dxfId="276" priority="52" operator="equal">
      <formula>"n"</formula>
    </cfRule>
    <cfRule type="cellIs" dxfId="275" priority="53" operator="equal">
      <formula>"y"</formula>
    </cfRule>
  </conditionalFormatting>
  <conditionalFormatting sqref="J68">
    <cfRule type="cellIs" dxfId="274" priority="48" operator="equal">
      <formula>$J$10</formula>
    </cfRule>
    <cfRule type="cellIs" dxfId="273" priority="49" operator="equal">
      <formula>$J$9</formula>
    </cfRule>
    <cfRule type="cellIs" dxfId="272" priority="50" operator="equal">
      <formula>$J$5</formula>
    </cfRule>
    <cfRule type="cellIs" dxfId="271" priority="51" operator="equal">
      <formula>$J$3</formula>
    </cfRule>
  </conditionalFormatting>
  <conditionalFormatting sqref="L69:M69">
    <cfRule type="cellIs" dxfId="270" priority="46" operator="equal">
      <formula>"n"</formula>
    </cfRule>
    <cfRule type="cellIs" dxfId="269" priority="47" operator="equal">
      <formula>"y"</formula>
    </cfRule>
  </conditionalFormatting>
  <conditionalFormatting sqref="J69">
    <cfRule type="cellIs" dxfId="268" priority="42" operator="equal">
      <formula>$J$10</formula>
    </cfRule>
    <cfRule type="cellIs" dxfId="267" priority="43" operator="equal">
      <formula>$J$9</formula>
    </cfRule>
    <cfRule type="cellIs" dxfId="266" priority="44" operator="equal">
      <formula>$J$5</formula>
    </cfRule>
    <cfRule type="cellIs" dxfId="265" priority="45" operator="equal">
      <formula>$J$3</formula>
    </cfRule>
  </conditionalFormatting>
  <conditionalFormatting sqref="L70:M70">
    <cfRule type="cellIs" dxfId="264" priority="40" operator="equal">
      <formula>"n"</formula>
    </cfRule>
    <cfRule type="cellIs" dxfId="263" priority="41" operator="equal">
      <formula>"y"</formula>
    </cfRule>
  </conditionalFormatting>
  <conditionalFormatting sqref="J70">
    <cfRule type="cellIs" dxfId="262" priority="36" operator="equal">
      <formula>$J$10</formula>
    </cfRule>
    <cfRule type="cellIs" dxfId="261" priority="37" operator="equal">
      <formula>$J$9</formula>
    </cfRule>
    <cfRule type="cellIs" dxfId="260" priority="38" operator="equal">
      <formula>$J$5</formula>
    </cfRule>
    <cfRule type="cellIs" dxfId="259" priority="39" operator="equal">
      <formula>$J$3</formula>
    </cfRule>
  </conditionalFormatting>
  <conditionalFormatting sqref="L72:M72">
    <cfRule type="cellIs" dxfId="258" priority="28" operator="equal">
      <formula>"n"</formula>
    </cfRule>
    <cfRule type="cellIs" dxfId="257" priority="29" operator="equal">
      <formula>"y"</formula>
    </cfRule>
  </conditionalFormatting>
  <conditionalFormatting sqref="J72">
    <cfRule type="cellIs" dxfId="256" priority="24" operator="equal">
      <formula>$J$10</formula>
    </cfRule>
    <cfRule type="cellIs" dxfId="255" priority="25" operator="equal">
      <formula>$J$9</formula>
    </cfRule>
    <cfRule type="cellIs" dxfId="254" priority="26" operator="equal">
      <formula>$J$5</formula>
    </cfRule>
    <cfRule type="cellIs" dxfId="253" priority="27" operator="equal">
      <formula>$J$3</formula>
    </cfRule>
  </conditionalFormatting>
  <conditionalFormatting sqref="L73:M73">
    <cfRule type="cellIs" dxfId="252" priority="22" operator="equal">
      <formula>"n"</formula>
    </cfRule>
    <cfRule type="cellIs" dxfId="251" priority="23" operator="equal">
      <formula>"y"</formula>
    </cfRule>
  </conditionalFormatting>
  <conditionalFormatting sqref="J73">
    <cfRule type="cellIs" dxfId="250" priority="18" operator="equal">
      <formula>$J$10</formula>
    </cfRule>
    <cfRule type="cellIs" dxfId="249" priority="19" operator="equal">
      <formula>$J$9</formula>
    </cfRule>
    <cfRule type="cellIs" dxfId="248" priority="20" operator="equal">
      <formula>$J$5</formula>
    </cfRule>
    <cfRule type="cellIs" dxfId="247" priority="21" operator="equal">
      <formula>$J$3</formula>
    </cfRule>
  </conditionalFormatting>
  <conditionalFormatting sqref="J71">
    <cfRule type="cellIs" dxfId="246" priority="14" operator="equal">
      <formula>$J$10</formula>
    </cfRule>
    <cfRule type="cellIs" dxfId="245" priority="15" operator="equal">
      <formula>$J$9</formula>
    </cfRule>
    <cfRule type="cellIs" dxfId="244" priority="16" operator="equal">
      <formula>$J$5</formula>
    </cfRule>
    <cfRule type="cellIs" dxfId="243" priority="17" operator="equal">
      <formula>$J$3</formula>
    </cfRule>
  </conditionalFormatting>
  <conditionalFormatting sqref="L71:N71">
    <cfRule type="cellIs" dxfId="242" priority="12" operator="equal">
      <formula>"n"</formula>
    </cfRule>
    <cfRule type="cellIs" dxfId="241" priority="13" operator="equal">
      <formula>"y"</formula>
    </cfRule>
  </conditionalFormatting>
  <conditionalFormatting sqref="L50:M50">
    <cfRule type="cellIs" dxfId="240" priority="10" operator="equal">
      <formula>"n"</formula>
    </cfRule>
    <cfRule type="cellIs" dxfId="239" priority="11" operator="equal">
      <formula>"y"</formula>
    </cfRule>
  </conditionalFormatting>
  <conditionalFormatting sqref="J50">
    <cfRule type="cellIs" dxfId="238" priority="6" operator="equal">
      <formula>$J$10</formula>
    </cfRule>
    <cfRule type="cellIs" dxfId="237" priority="7" operator="equal">
      <formula>$J$9</formula>
    </cfRule>
    <cfRule type="cellIs" dxfId="236" priority="8" operator="equal">
      <formula>$J$5</formula>
    </cfRule>
    <cfRule type="cellIs" dxfId="235" priority="9" operator="equal">
      <formula>$J$3</formula>
    </cfRule>
  </conditionalFormatting>
  <conditionalFormatting sqref="J1:J1048576">
    <cfRule type="cellIs" dxfId="4" priority="5" operator="equal">
      <formula>$J$69</formula>
    </cfRule>
  </conditionalFormatting>
  <conditionalFormatting sqref="J17">
    <cfRule type="cellIs" dxfId="3" priority="1" operator="equal">
      <formula>$J$10</formula>
    </cfRule>
    <cfRule type="cellIs" dxfId="2" priority="2" operator="equal">
      <formula>$J$9</formula>
    </cfRule>
    <cfRule type="cellIs" dxfId="1" priority="3" operator="equal">
      <formula>$J$5</formula>
    </cfRule>
    <cfRule type="cellIs" dxfId="0" priority="4" operator="equal">
      <formula>$J$3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dcterms:created xsi:type="dcterms:W3CDTF">2022-05-04T14:37:04Z</dcterms:created>
  <dcterms:modified xsi:type="dcterms:W3CDTF">2022-05-05T09:38:48Z</dcterms:modified>
</cp:coreProperties>
</file>