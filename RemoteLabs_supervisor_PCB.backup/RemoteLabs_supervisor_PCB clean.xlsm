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calcPr calcId="162913"/>
</workbook>
</file>

<file path=xl/calcChain.xml><?xml version="1.0" encoding="utf-8"?>
<calcChain xmlns="http://schemas.openxmlformats.org/spreadsheetml/2006/main">
  <c r="I34" i="1" l="1"/>
  <c r="Q34" i="1" s="1"/>
  <c r="I33" i="1"/>
  <c r="Q33" i="1" s="1"/>
  <c r="I43" i="1" l="1"/>
  <c r="Q43" i="1" s="1"/>
  <c r="I44" i="1"/>
  <c r="Q44" i="1" s="1"/>
  <c r="I4" i="1"/>
  <c r="Q4" i="1" s="1"/>
  <c r="I5" i="1"/>
  <c r="Q5" i="1" s="1"/>
  <c r="I6" i="1"/>
  <c r="Q6" i="1" s="1"/>
  <c r="I8" i="1"/>
  <c r="Q8" i="1" s="1"/>
  <c r="I9" i="1"/>
  <c r="Q9" i="1" s="1"/>
  <c r="I10" i="1"/>
  <c r="Q10" i="1" s="1"/>
  <c r="I11" i="1"/>
  <c r="Q11" i="1" s="1"/>
  <c r="I12" i="1"/>
  <c r="Q12" i="1" s="1"/>
  <c r="I13" i="1"/>
  <c r="Q13" i="1" s="1"/>
  <c r="I14" i="1"/>
  <c r="Q14" i="1" s="1"/>
  <c r="I16" i="1"/>
  <c r="Q16" i="1" s="1"/>
  <c r="I17" i="1"/>
  <c r="Q17" i="1" s="1"/>
  <c r="I18" i="1"/>
  <c r="Q18" i="1" s="1"/>
  <c r="I19" i="1"/>
  <c r="Q19" i="1" s="1"/>
  <c r="I20" i="1"/>
  <c r="Q20" i="1" s="1"/>
  <c r="I21" i="1"/>
  <c r="Q21" i="1" s="1"/>
  <c r="I23" i="1"/>
  <c r="Q23" i="1" s="1"/>
  <c r="I24" i="1"/>
  <c r="Q24" i="1" s="1"/>
  <c r="I26" i="1"/>
  <c r="Q26" i="1" s="1"/>
  <c r="I28" i="1"/>
  <c r="Q28" i="1" s="1"/>
  <c r="I30" i="1"/>
  <c r="Q30" i="1" s="1"/>
  <c r="I37" i="1"/>
  <c r="Q37" i="1" s="1"/>
  <c r="I38" i="1"/>
  <c r="Q38" i="1" s="1"/>
  <c r="I39" i="1"/>
  <c r="Q39" i="1" s="1"/>
  <c r="I40" i="1"/>
  <c r="Q40" i="1" s="1"/>
  <c r="I35" i="1"/>
  <c r="Q35" i="1" s="1"/>
  <c r="I36" i="1"/>
  <c r="Q36" i="1" s="1"/>
  <c r="I41" i="1"/>
  <c r="Q41" i="1" s="1"/>
  <c r="I42" i="1"/>
  <c r="Q42" i="1" s="1"/>
  <c r="I45" i="1"/>
  <c r="Q45" i="1" s="1"/>
  <c r="I46" i="1"/>
  <c r="Q46" i="1" s="1"/>
  <c r="I32" i="1"/>
  <c r="Q32" i="1" s="1"/>
  <c r="I48" i="1"/>
  <c r="Q48" i="1" s="1"/>
  <c r="I50" i="1"/>
  <c r="Q50" i="1" s="1"/>
  <c r="I51" i="1"/>
  <c r="Q51" i="1" s="1"/>
  <c r="I52" i="1"/>
  <c r="Q52" i="1" s="1"/>
  <c r="I53" i="1"/>
  <c r="Q53" i="1" s="1"/>
  <c r="I54" i="1"/>
  <c r="Q54" i="1" s="1"/>
  <c r="I55" i="1"/>
  <c r="Q55" i="1" s="1"/>
  <c r="I56" i="1"/>
  <c r="Q56" i="1" s="1"/>
  <c r="I58" i="1"/>
  <c r="Q58" i="1" s="1"/>
  <c r="I59" i="1"/>
  <c r="Q59" i="1" s="1"/>
  <c r="I60" i="1"/>
  <c r="Q60" i="1" s="1"/>
  <c r="I62" i="1"/>
  <c r="Q62" i="1" s="1"/>
  <c r="I63" i="1"/>
  <c r="I64" i="1"/>
  <c r="Q64" i="1" s="1"/>
  <c r="I65" i="1"/>
  <c r="Q65" i="1" s="1"/>
  <c r="I66" i="1"/>
  <c r="Q66" i="1" s="1"/>
  <c r="I67" i="1"/>
  <c r="Q67" i="1" s="1"/>
  <c r="I68" i="1"/>
  <c r="Q68" i="1" s="1"/>
  <c r="I69" i="1"/>
  <c r="Q69" i="1" s="1"/>
  <c r="I70" i="1"/>
  <c r="I71" i="1"/>
  <c r="Q71" i="1" s="1"/>
  <c r="I73" i="1"/>
  <c r="Q73" i="1" s="1"/>
  <c r="I74" i="1"/>
  <c r="Q74" i="1" s="1"/>
  <c r="I75" i="1"/>
  <c r="I76" i="1"/>
  <c r="I77" i="1"/>
  <c r="I78" i="1"/>
  <c r="I79" i="1"/>
  <c r="I80" i="1"/>
  <c r="I81" i="1"/>
  <c r="I82" i="1"/>
  <c r="I83" i="1"/>
  <c r="I84" i="1"/>
  <c r="I3" i="1"/>
  <c r="Q3" i="1" s="1"/>
</calcChain>
</file>

<file path=xl/sharedStrings.xml><?xml version="1.0" encoding="utf-8"?>
<sst xmlns="http://schemas.openxmlformats.org/spreadsheetml/2006/main" count="585" uniqueCount="289">
  <si>
    <t>Ref</t>
  </si>
  <si>
    <t>Qnty</t>
  </si>
  <si>
    <t>Value</t>
  </si>
  <si>
    <t>Cmp name</t>
  </si>
  <si>
    <t>Footprint</t>
  </si>
  <si>
    <t>Description</t>
  </si>
  <si>
    <t>Vendor</t>
  </si>
  <si>
    <t xml:space="preserve">A1, A2, </t>
  </si>
  <si>
    <t>Arduino_Nano_33_IoT</t>
  </si>
  <si>
    <t>Module:Arduino_Nano</t>
  </si>
  <si>
    <t>Arduino Nano v2.x</t>
  </si>
  <si>
    <t xml:space="preserve">A3, </t>
  </si>
  <si>
    <t>Infineon Motor Shield Uno</t>
  </si>
  <si>
    <t>Module:Arduino_UNO_R3</t>
  </si>
  <si>
    <t>Arduino UNO Microcontroller Module, release 3</t>
  </si>
  <si>
    <t xml:space="preserve">A4, </t>
  </si>
  <si>
    <t>DRV8825 High Current Stepper Motor Driver Module</t>
  </si>
  <si>
    <t xml:space="preserve">A5, </t>
  </si>
  <si>
    <t>LM2596S DC-DC Module</t>
  </si>
  <si>
    <t>5V 3A Step-Down Voltage Regulator, TO-263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</si>
  <si>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</si>
  <si>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</si>
  <si>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</si>
  <si>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</si>
  <si>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</si>
  <si>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</si>
  <si>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</si>
  <si>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</si>
  <si>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</si>
  <si>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</si>
  <si>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</si>
  <si>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</si>
  <si>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</si>
  <si>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</si>
  <si>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</si>
  <si>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</si>
  <si>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</si>
  <si>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</si>
  <si>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</si>
  <si>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</si>
  <si>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</si>
  <si>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</si>
  <si>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</si>
  <si>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</si>
  <si>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</si>
  <si>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</si>
  <si>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</si>
  <si>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</si>
  <si>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</si>
  <si>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</si>
  <si>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</si>
  <si>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</si>
  <si>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</si>
  <si>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</si>
  <si>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</si>
  <si>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>20A</t>
  </si>
  <si>
    <t>Fuse</t>
  </si>
  <si>
    <t>Fuse:Fuseholder_Cylinder-5x20mm_Stelvio-Kontek_PTF78_Horizontal_Open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</si>
  <si>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</si>
  <si>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</si>
  <si>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</si>
  <si>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</si>
  <si>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</si>
  <si>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>Conn_01x05_Male</t>
  </si>
  <si>
    <t>Connector_PinHeader_2.54mm:PinHeader_1x05_P2.54mm_Vertical</t>
  </si>
  <si>
    <t>Conn_01x03_Male</t>
  </si>
  <si>
    <t>Connector_PinHeader_2.54mm:PinHeader_1x03_P2.54mm_Vertical</t>
  </si>
  <si>
    <t xml:space="preserve">J3, </t>
  </si>
  <si>
    <t>Generic connector, single row, 01x02, script generated (kicad-library-utils/schlib/autogen/connector/)</t>
  </si>
  <si>
    <t xml:space="preserve">J5, </t>
  </si>
  <si>
    <t>USB_A_Stacked</t>
  </si>
  <si>
    <t>USB Type A connector, stacked</t>
  </si>
  <si>
    <t xml:space="preserve">J7, J13, </t>
  </si>
  <si>
    <t>USB_B_Mini</t>
  </si>
  <si>
    <t>Connector_USB:USB_Mini-B_Lumberg_2486_01_Horizontal</t>
  </si>
  <si>
    <t>USB Mini Type B connector</t>
  </si>
  <si>
    <t>Connector_PinHeader_2.54mm:PinHeader_1x04_P2.54mm_Vertical</t>
  </si>
  <si>
    <t>Generic connector, single row, 01x04, script generated (kicad-library-utils/schlib/autogen/connector/)</t>
  </si>
  <si>
    <t>TerminalBlock:TerminalBlock_Altech_AK300-2_P5.00mm</t>
  </si>
  <si>
    <t>Generic screw terminal, single row, 01x02, script generated (kicad-library-utils/schlib/autogen/connector/)</t>
  </si>
  <si>
    <t>TerminalBlock:TerminalBlock_Altech_AK300-3_P5.00mm</t>
  </si>
  <si>
    <t>Generic screw terminal, single row, 01x03, script generated (kicad-library-utils/schlib/autogen/connector/)</t>
  </si>
  <si>
    <t xml:space="preserve">J19, </t>
  </si>
  <si>
    <t xml:space="preserve">J29, </t>
  </si>
  <si>
    <t xml:space="preserve">Q1, </t>
  </si>
  <si>
    <t>IRF5305_PBF</t>
  </si>
  <si>
    <t>Package_TO_SOT_THT:TO-220-3_Vertical</t>
  </si>
  <si>
    <t>-31A Id, -55V Vds, Single P-Channel HEXFET Power MOSFET, 60mOhm Ron, TO-220AB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</si>
  <si>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</si>
  <si>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</si>
  <si>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</si>
  <si>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</si>
  <si>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</si>
  <si>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</si>
  <si>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</si>
  <si>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</si>
  <si>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</si>
  <si>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</si>
  <si>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</si>
  <si>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</si>
  <si>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</si>
  <si>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</si>
  <si>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</si>
  <si>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</si>
  <si>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</si>
  <si>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</si>
  <si>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</si>
  <si>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</si>
  <si>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</si>
  <si>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</si>
  <si>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</si>
  <si>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</si>
  <si>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</si>
  <si>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</si>
  <si>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</si>
  <si>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</si>
  <si>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</si>
  <si>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</si>
  <si>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</si>
  <si>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</si>
  <si>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</si>
  <si>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</si>
  <si>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</si>
  <si>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</si>
  <si>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</si>
  <si>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</si>
  <si>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</si>
  <si>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</si>
  <si>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</si>
  <si>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</si>
  <si>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</si>
  <si>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</si>
  <si>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</si>
  <si>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</si>
  <si>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</si>
  <si>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</si>
  <si>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</si>
  <si>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</si>
  <si>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</si>
  <si>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</si>
  <si>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</si>
  <si>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</si>
  <si>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</si>
  <si>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</si>
  <si>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</si>
  <si>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</si>
  <si>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</si>
  <si>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</si>
  <si>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</si>
  <si>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</si>
  <si>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</si>
  <si>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</si>
  <si>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</si>
  <si>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</si>
  <si>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</si>
  <si>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</si>
  <si>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</si>
  <si>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az-delivery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</si>
  <si>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</si>
  <si>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</si>
  <si>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</si>
  <si>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</si>
  <si>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</si>
  <si>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</si>
  <si>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</si>
  <si>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</si>
  <si>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</si>
  <si>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</si>
  <si>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F1, F2, </t>
  </si>
  <si>
    <t>Connectors</t>
  </si>
  <si>
    <t>Pin Headers</t>
  </si>
  <si>
    <t>J1, J25, J26,</t>
  </si>
  <si>
    <t>Generic M</t>
  </si>
  <si>
    <t>Generic F</t>
  </si>
  <si>
    <t>J16, J22, J30, J31,</t>
  </si>
  <si>
    <t>J17, J18,</t>
  </si>
  <si>
    <t>J4, J23, J24,</t>
  </si>
  <si>
    <t xml:space="preserve">J2, J20, J21, </t>
  </si>
  <si>
    <t>Pin Header, Board-to-Board, 2.54 mm, 1 Rows, 20 Contacts, Through Hole, M20</t>
  </si>
  <si>
    <t>Pin Sockets</t>
  </si>
  <si>
    <t>PCB Receptacle, Board-to-Board, 2.54 mm, 1 Rows, 20 Contacts, Through Hole Mount, 2212S</t>
  </si>
  <si>
    <t>Connector_PinHeader_2.54mm:PinHeader_1x08_P2.54mm_Vertical</t>
  </si>
  <si>
    <t xml:space="preserve">SW2, SW3, </t>
  </si>
  <si>
    <t>not req</t>
  </si>
  <si>
    <t>XT45_connector_DC_45A_male</t>
  </si>
  <si>
    <t>Connector_AMASS:AMASS_XT45PW-M</t>
  </si>
  <si>
    <t>3 Pin Header</t>
  </si>
  <si>
    <t>2 pin Screw terminal</t>
  </si>
  <si>
    <t>3 pin screw terminal</t>
  </si>
  <si>
    <t>2 pin Molex</t>
  </si>
  <si>
    <t>3 pin Molex</t>
  </si>
  <si>
    <t>4 Pin JST XH</t>
  </si>
  <si>
    <t>half</t>
  </si>
  <si>
    <t>NOT AVAILABLE</t>
  </si>
  <si>
    <t>NOT REQUIRED</t>
  </si>
  <si>
    <t>Part Number</t>
  </si>
  <si>
    <t>Link</t>
  </si>
  <si>
    <t>https://uk.rs-online.com/web/p/arduino/1927585</t>
  </si>
  <si>
    <t xml:space="preserve"> </t>
  </si>
  <si>
    <t>https://uk.rs-online.com/web/p/shields-for-arduino/9062874</t>
  </si>
  <si>
    <t>https://www.az-delivery.de/en/products/drv8825-schrittmotor-treiber-modul-mit-kuhlkorper?variant=37100118866</t>
  </si>
  <si>
    <t>192-7585</t>
  </si>
  <si>
    <t>906-2874</t>
  </si>
  <si>
    <t>https://www.az-delivery.de/en/products/lm2596s-dc-dc-step-down-modul-1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</si>
  <si>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</si>
  <si>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</si>
  <si>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</si>
  <si>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</si>
  <si>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</si>
  <si>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</si>
  <si>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</si>
  <si>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</si>
  <si>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</si>
  <si>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</si>
  <si>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</si>
  <si>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</si>
  <si>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</si>
  <si>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</si>
  <si>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https://uk.farnell.com/littelfuse/65600001009/fuseholder-5x20mm-pcb-mount/dp/1597013</t>
  </si>
  <si>
    <t>104-8535</t>
  </si>
  <si>
    <t>https://uk.rs-online.com/web/p/ferrite-beads/1048535</t>
  </si>
  <si>
    <t>https://uk.farnell.com/molex/22-27-2051/connector-header-5pos-1row-2-54mm/dp/9731679?st=2.54mm%20pin%20header</t>
  </si>
  <si>
    <t>https://uk.farnell.com/harwin/m20-9990345/header-straight-2-54mm-1row-3way/dp/1022248?st=2.54mm%20pin%20header</t>
  </si>
  <si>
    <t>https://uk.farnell.com/harwin/m20-9992046/header-1row-20way/dp/1022262</t>
  </si>
  <si>
    <t>https://uk.farnell.com/multicomp/2212s-20sg-85/socket-pcb-1-row-20way/dp/1593469</t>
  </si>
  <si>
    <t>180-5375</t>
  </si>
  <si>
    <t>https://uk.rs-online.com/web/p/compact-power-connectors/1805375</t>
  </si>
  <si>
    <t>https://uk.farnell.com/gct-global-connector-technology/usb1035-gf-p-0-b-b/usb-conn-dual-rcpt-2-0-2port-8pos/dp/2784974?st=usb%20a</t>
  </si>
  <si>
    <t>https://uk.farnell.com/gct-global-connector-technology/usb2066-05-rbhm-15-stb-00-00-a/mini-usb-2-0-type-b-receptacle/dp/2293774?st=usb%20a</t>
  </si>
  <si>
    <t>https://uk.farnell.com/multicomp/mc000048/terminal-block-wire-to-brd-2pos/dp/2008019?st=screw%20terminal%20block</t>
  </si>
  <si>
    <t>https://uk.farnell.com/multicomp/mc000049/terminal-block-wire-to-brd-3pos/dp/2008020?st=screw%20terminal%20block</t>
  </si>
  <si>
    <t>https://uk.farnell.com/molex/22-23-2031/connector-header-3pos-1row-2-54mm/dp/1462950?st=2.54mm%20pin%20header%203%20pin</t>
  </si>
  <si>
    <t>https://uk.rs-online.com/web/p/pcb-headers/8201551</t>
  </si>
  <si>
    <t>820-1551</t>
  </si>
  <si>
    <t>https://uk.farnell.com/infineon/irf5305pbf/mosfet-p-55v-31a-to-220/dp/8648255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</si>
  <si>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</si>
  <si>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</si>
  <si>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</si>
  <si>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</si>
  <si>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</si>
  <si>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</si>
  <si>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</si>
  <si>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</si>
  <si>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</si>
  <si>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</si>
  <si>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</si>
  <si>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</si>
  <si>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</si>
  <si>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</si>
  <si>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</si>
  <si>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</si>
  <si>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</si>
  <si>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</si>
  <si>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</si>
  <si>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</si>
  <si>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</si>
  <si>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</si>
  <si>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</si>
  <si>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</si>
  <si>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</si>
  <si>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</si>
  <si>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</si>
  <si>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</si>
  <si>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Dual Pin Headers - Custom</t>
  </si>
  <si>
    <t>4 Pin Custom Module</t>
  </si>
  <si>
    <t>Led_0805(2012METRIC)</t>
  </si>
  <si>
    <t>Capacitor_SMD:CP_Elec_4x5.4</t>
  </si>
  <si>
    <t>Capacitor_SMD:CP_Elec_6.3x7.7</t>
  </si>
  <si>
    <t>MOLEX 3 PIN 2.54mm</t>
  </si>
  <si>
    <t>Generic Pin Header</t>
  </si>
  <si>
    <t>Connector_PinHeader_2.54mm:PinHeader_1x02_P2.54mm_Vertical</t>
  </si>
  <si>
    <t>MOLEX 2 PIN 2.54mm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</si>
  <si>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</si>
  <si>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</si>
  <si>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</si>
  <si>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</si>
  <si>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</si>
  <si>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</si>
  <si>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</si>
  <si>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</si>
  <si>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</si>
  <si>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</si>
  <si>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</si>
  <si>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</si>
  <si>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</si>
  <si>
    <t>POLARISED Capacitor</t>
  </si>
  <si>
    <t>MOLEX 5 PIN 2.54mm</t>
  </si>
  <si>
    <t>5 Pin Molex, Wire-to-Board, 2.54 mm, 1 Rows, 5 Contacts, Through Hole Straight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</si>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</sst>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/>
    <xf numFmtId="0" fontId="0" fillId="0" borderId="0" xfId="0" applyAlignment="1"/>
    <xf numFmtId="0" fontId="16" fillId="0" borderId="0" xfId="0" applyFont="1" applyAlignment="1"/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/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/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C7099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uk.farnell.com/multicomp-pro/mp008292/led-blue-210mcd-475nm-0805/dp/3796324?st=led" TargetMode="External"/><Relationship Id="rId18" Type="http://schemas.openxmlformats.org/officeDocument/2006/relationships/hyperlink" Target="https://uk.farnell.com/harwin/m20-9990345/header-straight-2-54mm-1row-3way/dp/1022248?st=2.54mm%20pin%20header" TargetMode="External"/><Relationship Id="rId26" Type="http://schemas.openxmlformats.org/officeDocument/2006/relationships/hyperlink" Target="https://uk.rs-online.com/web/p/pcb-headers/8201551" TargetMode="External"/><Relationship Id="rId39" Type="http://schemas.openxmlformats.org/officeDocument/2006/relationships/hyperlink" Target="https://uk.farnell.com/on-semiconductor/ncp1117st33t3g/ic-linear-voltage-regulator/dp/1652366RL?st=ldo" TargetMode="External"/><Relationship Id="rId3" Type="http://schemas.openxmlformats.org/officeDocument/2006/relationships/hyperlink" Target="https://www.az-delivery.de/en/products/drv8825-schrittmotor-treiber-modul-mit-kuhlkorper?variant=37100118866" TargetMode="External"/><Relationship Id="rId21" Type="http://schemas.openxmlformats.org/officeDocument/2006/relationships/hyperlink" Target="https://uk.farnell.com/multicomp/mc000048/terminal-block-wire-to-brd-2pos/dp/2008019?st=screw%20terminal%20block" TargetMode="External"/><Relationship Id="rId34" Type="http://schemas.openxmlformats.org/officeDocument/2006/relationships/hyperlink" Target="https://uk.farnell.com/walsin/wf08p4700ftl/res-470r-1-0-25w-0805-thick-film/dp/2670094?st=470r%200805" TargetMode="External"/><Relationship Id="rId42" Type="http://schemas.openxmlformats.org/officeDocument/2006/relationships/hyperlink" Target="https://uk.farnell.com/nexperia/hef4081bt/ic-4000-locmos-smd-4081-soic14/dp/1085290?st=4081" TargetMode="External"/><Relationship Id="rId47" Type="http://schemas.openxmlformats.org/officeDocument/2006/relationships/hyperlink" Target="https://uk.farnell.com/kemet/c0805c226m8pactu/cap-22-f-10v-20-x5r-0805/dp/2773239?st=22uf%20mlcc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uk.farnell.com/avx/08055a101jat2a/cap-100pf-50v-5-c0g-np0-0805/dp/2280669?st=100p%200805" TargetMode="External"/><Relationship Id="rId12" Type="http://schemas.openxmlformats.org/officeDocument/2006/relationships/hyperlink" Target="https://uk.farnell.com/nexperia/prtr5v0u2x-215/diode-tvs-dual-sot-143b/dp/1524157RL?st=prtr5v0u2x" TargetMode="External"/><Relationship Id="rId17" Type="http://schemas.openxmlformats.org/officeDocument/2006/relationships/hyperlink" Target="https://uk.farnell.com/molex/22-27-2051/connector-header-5pos-1row-2-54mm/dp/9731679?st=2.54mm%20pin%20header" TargetMode="External"/><Relationship Id="rId25" Type="http://schemas.openxmlformats.org/officeDocument/2006/relationships/hyperlink" Target="https://uk.farnell.com/multicomp/mc000049/terminal-block-wire-to-brd-3pos/dp/2008020?st=screw%20terminal%20block" TargetMode="External"/><Relationship Id="rId33" Type="http://schemas.openxmlformats.org/officeDocument/2006/relationships/hyperlink" Target="https://uk.farnell.com/te-connectivity/crgh0805f1k0/res-1k-1-0-33w-0805-thick-film/dp/2332071?st=1k%200805" TargetMode="External"/><Relationship Id="rId38" Type="http://schemas.openxmlformats.org/officeDocument/2006/relationships/hyperlink" Target="https://uk.farnell.com/c-k-components/pts645sm43smtr92lfs/switch-spst-0-05a-12vdc-smd-4/dp/2320087RL" TargetMode="External"/><Relationship Id="rId46" Type="http://schemas.openxmlformats.org/officeDocument/2006/relationships/hyperlink" Target="https://uk.farnell.com/murata/grm21bc81c106ke15l/cap-10-f-16v-10-x6s-0805/dp/1907513?ICID=I-RP-STM7REC-0" TargetMode="External"/><Relationship Id="rId2" Type="http://schemas.openxmlformats.org/officeDocument/2006/relationships/hyperlink" Target="https://uk.rs-online.com/web/p/shields-for-arduino/9062874" TargetMode="External"/><Relationship Id="rId16" Type="http://schemas.openxmlformats.org/officeDocument/2006/relationships/hyperlink" Target="https://uk.rs-online.com/web/p/ferrite-beads/1048535" TargetMode="External"/><Relationship Id="rId20" Type="http://schemas.openxmlformats.org/officeDocument/2006/relationships/hyperlink" Target="https://uk.farnell.com/multicomp/2212s-20sg-85/socket-pcb-1-row-20way/dp/1593469" TargetMode="External"/><Relationship Id="rId29" Type="http://schemas.openxmlformats.org/officeDocument/2006/relationships/hyperlink" Target="https://uk.farnell.com/infineon/irf5305pbf/mosfet-p-55v-31a-to-220/dp/8648255" TargetMode="External"/><Relationship Id="rId41" Type="http://schemas.openxmlformats.org/officeDocument/2006/relationships/hyperlink" Target="https://uk.farnell.com/nexperia/hef4069ubt/ic-4000-locmos-smd-4069-soic14/dp/1201295?st=4069" TargetMode="External"/><Relationship Id="rId1" Type="http://schemas.openxmlformats.org/officeDocument/2006/relationships/hyperlink" Target="https://uk.rs-online.com/web/p/arduino/1927585" TargetMode="External"/><Relationship Id="rId6" Type="http://schemas.openxmlformats.org/officeDocument/2006/relationships/hyperlink" Target="https://uk.farnell.com/kemet/edk107m035a9haa/cap-100-f-35v-radial-smd-reel/dp/2068675?st=100uf" TargetMode="External"/><Relationship Id="rId11" Type="http://schemas.openxmlformats.org/officeDocument/2006/relationships/hyperlink" Target="https://uk.farnell.com/nexperia/bzv55-b9v1-115/diode-zener-9-1v-500mw-sod-80c/dp/2319152?st=bzv55b9v1" TargetMode="External"/><Relationship Id="rId24" Type="http://schemas.openxmlformats.org/officeDocument/2006/relationships/hyperlink" Target="https://uk.farnell.com/gct-global-connector-technology/usb2066-05-rbhm-15-stb-00-00-a/mini-usb-2-0-type-b-receptacle/dp/2293774?st=usb%20a" TargetMode="External"/><Relationship Id="rId32" Type="http://schemas.openxmlformats.org/officeDocument/2006/relationships/hyperlink" Target="https://uk.farnell.com/te-connectivity/crgcq0805f1m0/res-1m-1-0805-thick-film/dp/2861558?st=1m%200805" TargetMode="External"/><Relationship Id="rId37" Type="http://schemas.openxmlformats.org/officeDocument/2006/relationships/hyperlink" Target="https://uk.farnell.com/cts/219-3lpstr/dip-switch-0-1a-50vdc-3pos-smd/dp/3778050?st=dipswitches" TargetMode="External"/><Relationship Id="rId40" Type="http://schemas.openxmlformats.org/officeDocument/2006/relationships/hyperlink" Target="https://uk.farnell.com/nexperia/hef4094bt/ic-4000-locmos-smd-4094-soic16/dp/1201297?st=4094" TargetMode="External"/><Relationship Id="rId45" Type="http://schemas.openxmlformats.org/officeDocument/2006/relationships/hyperlink" Target="https://uk.rs-online.com/web/p/buffers/8270301" TargetMode="External"/><Relationship Id="rId5" Type="http://schemas.openxmlformats.org/officeDocument/2006/relationships/hyperlink" Target="https://uk.farnell.com/kemet/exv106m025a9baa/cap-10-f-25v-radial-smd/dp/2069174?st=10uf" TargetMode="External"/><Relationship Id="rId15" Type="http://schemas.openxmlformats.org/officeDocument/2006/relationships/hyperlink" Target="https://uk.farnell.com/littelfuse/65600001009/fuseholder-5x20mm-pcb-mount/dp/1597013" TargetMode="External"/><Relationship Id="rId23" Type="http://schemas.openxmlformats.org/officeDocument/2006/relationships/hyperlink" Target="https://uk.farnell.com/gct-global-connector-technology/usb1035-gf-p-0-b-b/usb-conn-dual-rcpt-2-0-2port-8pos/dp/2784974?st=usb%20a" TargetMode="External"/><Relationship Id="rId28" Type="http://schemas.openxmlformats.org/officeDocument/2006/relationships/hyperlink" Target="https://uk.farnell.com/molex/22-23-2031/connector-header-3pos-1row-2-54mm/dp/1462950?st=2.54mm%20pin%20header%203%20pin" TargetMode="External"/><Relationship Id="rId36" Type="http://schemas.openxmlformats.org/officeDocument/2006/relationships/hyperlink" Target="https://uk.farnell.com/multicomp/mcwr08x2701ftl/res-2k7-1-0-125w-thick-film/dp/2447627?st=2k7%200805" TargetMode="External"/><Relationship Id="rId49" Type="http://schemas.openxmlformats.org/officeDocument/2006/relationships/hyperlink" Target="https://uk.farnell.com/abracon/asek-32-768khz-lrt/osc-32-768khz-3-2-x-2-5mm-lvcmos/dp/2467903" TargetMode="External"/><Relationship Id="rId10" Type="http://schemas.openxmlformats.org/officeDocument/2006/relationships/hyperlink" Target="https://uk.farnell.com/avx/tajr105k020rnj/cap-1-f-20v-10-0805-smd/dp/1432430?st=1u+0805+tantlium" TargetMode="External"/><Relationship Id="rId19" Type="http://schemas.openxmlformats.org/officeDocument/2006/relationships/hyperlink" Target="https://uk.farnell.com/harwin/m20-9992046/header-1row-20way/dp/1022262" TargetMode="External"/><Relationship Id="rId31" Type="http://schemas.openxmlformats.org/officeDocument/2006/relationships/hyperlink" Target="https://uk.farnell.com/multicomp/mchp05w4f3300t5e/res-330r-1-0-25w-0805-thick-film/dp/1576452?st=330r%200805" TargetMode="External"/><Relationship Id="rId44" Type="http://schemas.openxmlformats.org/officeDocument/2006/relationships/hyperlink" Target="https://uk.farnell.com/on-semiconductor/ncs20074dr2g/op-amp-quad-3mhz-2-8v-us-soic/dp/2774608?st=ncs20074" TargetMode="External"/><Relationship Id="rId4" Type="http://schemas.openxmlformats.org/officeDocument/2006/relationships/hyperlink" Target="https://www.az-delivery.de/en/products/lm2596s-dc-dc-step-down-modul-1" TargetMode="External"/><Relationship Id="rId9" Type="http://schemas.openxmlformats.org/officeDocument/2006/relationships/hyperlink" Target="https://uk.farnell.com/multicomp/mc0805n9r0d500ct/cap-9pf-50v-c0g-np0-0805/dp/1759189?st=9pf%200805" TargetMode="External"/><Relationship Id="rId14" Type="http://schemas.openxmlformats.org/officeDocument/2006/relationships/hyperlink" Target="https://uk.farnell.com/kingbright/kp-2012seck/led-0805-250mcd-orange/dp/2290332?st=orange%20led%200805" TargetMode="External"/><Relationship Id="rId22" Type="http://schemas.openxmlformats.org/officeDocument/2006/relationships/hyperlink" Target="https://uk.rs-online.com/web/p/compact-power-connectors/1805375" TargetMode="External"/><Relationship Id="rId27" Type="http://schemas.openxmlformats.org/officeDocument/2006/relationships/hyperlink" Target="https://uk.farnell.com/molex/22-23-2021/connector-header-2pos-1row-2-54mm/dp/1462926" TargetMode="External"/><Relationship Id="rId30" Type="http://schemas.openxmlformats.org/officeDocument/2006/relationships/hyperlink" Target="https://uk.farnell.com/multicomp/mchp05w4f2201t5e/res-2k2-1-0-25w-0805-thick-film/dp/1576464?st=2k2%200805" TargetMode="External"/><Relationship Id="rId35" Type="http://schemas.openxmlformats.org/officeDocument/2006/relationships/hyperlink" Target="https://uk.farnell.com/multicomp/mcwr08x1002ftl/res-10k-1-0-125w-0805-thick-film/dp/2447553RL?st=10k%200805" TargetMode="External"/><Relationship Id="rId43" Type="http://schemas.openxmlformats.org/officeDocument/2006/relationships/hyperlink" Target="https://uk.farnell.com/nexperia/74hc86d/ic-74hc-cmos-smd-74hc86-soic14/dp/1085331?st=74hc86" TargetMode="External"/><Relationship Id="rId48" Type="http://schemas.openxmlformats.org/officeDocument/2006/relationships/hyperlink" Target="https://uk.rs-online.com/web/p/schottky-diodes-rectifiers/7805414" TargetMode="External"/><Relationship Id="rId8" Type="http://schemas.openxmlformats.org/officeDocument/2006/relationships/hyperlink" Target="https://uk.farnell.com/kemet/c0805c472k5ractu/cap-4700pf-50v-10-x7r-0805/dp/1414696?st=4n7%2008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V85"/>
  <sheetViews>
    <sheetView tabSelected="1" topLeftCell="B1" zoomScaleNormal="100" workbookViewId="0">
      <pane ySplit="1" topLeftCell="A2" activePane="bottomLeft" state="frozen"/>
      <selection pane="bottomLeft" activeCell="U17" sqref="U17"/>
    </sheetView>
  </sheetViews>
  <sheetFormatPr defaultRowHeight="15" x14ac:dyDescent="0.25"/>
  <cols>
    <col min="1" max="1" width="13.42578125" style="12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19" style="2" bestFit="1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11" t="s">
        <v>0</v>
      </c>
      <c r="B1" s="3" t="s">
        <v>1</v>
      </c>
      <c r="C1" s="25" t="s">
        <v>2</v>
      </c>
      <c r="D1" s="25" t="s">
        <v>3</v>
      </c>
      <c r="E1" s="8" t="s">
        <v>4</v>
      </c>
      <c r="F1" s="8" t="s">
        <v>5</v>
      </c>
      <c r="G1" s="3" t="s">
        <v>6</v>
      </c>
      <c r="H1" s="3"/>
      <c r="I1" s="3" t="s">
        <v>153</v>
      </c>
      <c r="J1" s="3" t="s">
        <v>162</v>
      </c>
      <c r="K1" s="3" t="s">
        <v>160</v>
      </c>
      <c r="L1" s="3"/>
      <c r="M1" s="3" t="s">
        <v>158</v>
      </c>
      <c r="N1" s="3" t="s">
        <v>151</v>
      </c>
      <c r="O1" s="3" t="s">
        <v>156</v>
      </c>
      <c r="P1" s="3"/>
      <c r="Q1" s="3" t="s">
        <v>163</v>
      </c>
      <c r="R1" s="17"/>
      <c r="S1" s="25" t="s">
        <v>195</v>
      </c>
      <c r="T1" s="3"/>
      <c r="U1" s="3" t="s">
        <v>196</v>
      </c>
      <c r="V1" s="3"/>
      <c r="W1" s="3"/>
      <c r="X1" s="53" t="s">
        <v>273</v>
      </c>
      <c r="AV1" s="3" t="s">
        <v>152</v>
      </c>
    </row>
    <row r="2" spans="1:48" x14ac:dyDescent="0.25">
      <c r="S2" s="26"/>
      <c r="T2" s="14"/>
      <c r="U2" s="14"/>
      <c r="V2" s="14" t="s">
        <v>198</v>
      </c>
      <c r="W2" s="14"/>
    </row>
    <row r="3" spans="1:48" x14ac:dyDescent="0.25">
      <c r="A3" s="12" t="s">
        <v>7</v>
      </c>
      <c r="B3" s="2">
        <v>2</v>
      </c>
      <c r="C3" s="6" t="s">
        <v>8</v>
      </c>
      <c r="D3" s="6" t="s">
        <v>8</v>
      </c>
      <c r="E3" s="5" t="s">
        <v>9</v>
      </c>
      <c r="F3" s="5" t="s">
        <v>10</v>
      </c>
      <c r="G3" s="2" t="s">
        <v>154</v>
      </c>
      <c r="I3" s="2">
        <f>B3*AV3</f>
        <v>160</v>
      </c>
      <c r="J3" s="2">
        <v>160</v>
      </c>
      <c r="K3" s="2">
        <v>31244</v>
      </c>
      <c r="M3" s="2" t="s">
        <v>155</v>
      </c>
      <c r="N3" s="2" t="s">
        <v>155</v>
      </c>
      <c r="O3" s="2" t="s">
        <v>155</v>
      </c>
      <c r="Q3" s="2">
        <f>J3-I3</f>
        <v>0</v>
      </c>
      <c r="S3" s="26" t="s">
        <v>201</v>
      </c>
      <c r="T3" s="14"/>
      <c r="U3" s="15" t="s">
        <v>197</v>
      </c>
      <c r="V3" s="14"/>
      <c r="W3" s="14" t="s">
        <v>198</v>
      </c>
      <c r="AV3" s="2">
        <v>80</v>
      </c>
    </row>
    <row r="4" spans="1:48" x14ac:dyDescent="0.25">
      <c r="A4" s="12" t="s">
        <v>11</v>
      </c>
      <c r="B4" s="2">
        <v>1</v>
      </c>
      <c r="C4" s="6" t="s">
        <v>12</v>
      </c>
      <c r="D4" s="6" t="s">
        <v>12</v>
      </c>
      <c r="E4" s="5" t="s">
        <v>13</v>
      </c>
      <c r="F4" s="5" t="s">
        <v>14</v>
      </c>
      <c r="G4" s="2" t="s">
        <v>154</v>
      </c>
      <c r="I4" s="2">
        <f>B4*AV4</f>
        <v>80</v>
      </c>
      <c r="J4" s="2">
        <v>80</v>
      </c>
      <c r="K4" s="2">
        <v>31244</v>
      </c>
      <c r="M4" s="2" t="s">
        <v>155</v>
      </c>
      <c r="N4" s="2" t="s">
        <v>155</v>
      </c>
      <c r="O4" s="4">
        <v>44705</v>
      </c>
      <c r="Q4" s="2">
        <f t="shared" ref="Q4:Q30" si="0">J4-I4</f>
        <v>0</v>
      </c>
      <c r="S4" s="26" t="s">
        <v>202</v>
      </c>
      <c r="T4" s="14"/>
      <c r="U4" s="15" t="s">
        <v>199</v>
      </c>
      <c r="V4" s="14"/>
      <c r="W4" s="14" t="s">
        <v>198</v>
      </c>
      <c r="AV4" s="2">
        <v>80</v>
      </c>
    </row>
    <row r="5" spans="1:48" x14ac:dyDescent="0.25">
      <c r="A5" s="12" t="s">
        <v>15</v>
      </c>
      <c r="B5" s="2">
        <v>1</v>
      </c>
      <c r="C5" s="6" t="s">
        <v>16</v>
      </c>
      <c r="D5" s="6" t="s">
        <v>16</v>
      </c>
      <c r="E5" s="5" t="s">
        <v>263</v>
      </c>
      <c r="F5" s="5" t="s">
        <v>16</v>
      </c>
      <c r="G5" s="2" t="s">
        <v>157</v>
      </c>
      <c r="I5" s="2">
        <f>B5*AV5</f>
        <v>80</v>
      </c>
      <c r="J5" s="2">
        <v>80</v>
      </c>
      <c r="K5" s="2">
        <v>31338</v>
      </c>
      <c r="M5" s="2" t="s">
        <v>155</v>
      </c>
      <c r="N5" s="2" t="s">
        <v>159</v>
      </c>
      <c r="Q5" s="2">
        <f t="shared" si="0"/>
        <v>0</v>
      </c>
      <c r="S5" s="26"/>
      <c r="T5" s="14"/>
      <c r="U5" s="15" t="s">
        <v>200</v>
      </c>
      <c r="V5" s="14"/>
      <c r="W5" s="14" t="s">
        <v>198</v>
      </c>
      <c r="AV5" s="2">
        <v>80</v>
      </c>
    </row>
    <row r="6" spans="1:48" x14ac:dyDescent="0.25">
      <c r="A6" s="12" t="s">
        <v>17</v>
      </c>
      <c r="B6" s="2">
        <v>1</v>
      </c>
      <c r="C6" s="6" t="s">
        <v>18</v>
      </c>
      <c r="D6" s="6" t="s">
        <v>18</v>
      </c>
      <c r="E6" s="5" t="s">
        <v>264</v>
      </c>
      <c r="F6" s="5" t="s">
        <v>19</v>
      </c>
      <c r="G6" s="2" t="s">
        <v>157</v>
      </c>
      <c r="I6" s="2">
        <f>B6*AV6</f>
        <v>80</v>
      </c>
      <c r="J6" s="2">
        <v>80</v>
      </c>
      <c r="K6" s="2">
        <v>31338</v>
      </c>
      <c r="M6" s="2" t="s">
        <v>155</v>
      </c>
      <c r="N6" s="2" t="s">
        <v>159</v>
      </c>
      <c r="Q6" s="2">
        <f t="shared" si="0"/>
        <v>0</v>
      </c>
      <c r="S6" s="26"/>
      <c r="T6" s="14"/>
      <c r="U6" s="18" t="s">
        <v>203</v>
      </c>
      <c r="V6" s="14"/>
      <c r="W6" s="14" t="s">
        <v>198</v>
      </c>
      <c r="AV6" s="2">
        <v>80</v>
      </c>
    </row>
    <row r="7" spans="1:48" s="50" customFormat="1" x14ac:dyDescent="0.25">
      <c r="A7" s="46"/>
      <c r="B7" s="47"/>
      <c r="C7" s="48"/>
      <c r="D7" s="48"/>
      <c r="E7" s="49"/>
      <c r="F7" s="49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1"/>
      <c r="T7" s="52"/>
      <c r="U7" s="52"/>
      <c r="V7" s="52"/>
      <c r="W7" s="52" t="s">
        <v>198</v>
      </c>
      <c r="X7" s="48"/>
      <c r="AV7" s="47"/>
    </row>
    <row r="8" spans="1:48" x14ac:dyDescent="0.25">
      <c r="A8" s="12" t="s">
        <v>276</v>
      </c>
      <c r="B8" s="2">
        <v>2</v>
      </c>
      <c r="C8" s="6" t="s">
        <v>20</v>
      </c>
      <c r="D8" s="6" t="s">
        <v>21</v>
      </c>
      <c r="E8" s="5" t="s">
        <v>22</v>
      </c>
      <c r="F8" s="5" t="s">
        <v>23</v>
      </c>
      <c r="G8" s="2" t="s">
        <v>161</v>
      </c>
      <c r="I8" s="2">
        <f t="shared" ref="I8:I14" si="1">B8*AV8</f>
        <v>160</v>
      </c>
      <c r="J8" s="2">
        <v>85</v>
      </c>
      <c r="K8" s="2">
        <v>31340</v>
      </c>
      <c r="M8" s="2" t="s">
        <v>155</v>
      </c>
      <c r="N8" s="2" t="s">
        <v>159</v>
      </c>
      <c r="Q8" s="2">
        <f t="shared" si="0"/>
        <v>-75</v>
      </c>
      <c r="S8" s="37">
        <v>1907513</v>
      </c>
      <c r="T8" s="32"/>
      <c r="U8" s="36" t="s">
        <v>255</v>
      </c>
      <c r="V8" s="14"/>
      <c r="W8" s="14" t="s">
        <v>198</v>
      </c>
      <c r="AV8" s="2">
        <v>80</v>
      </c>
    </row>
    <row r="9" spans="1:48" x14ac:dyDescent="0.25">
      <c r="A9" s="12" t="s">
        <v>164</v>
      </c>
      <c r="B9" s="2">
        <v>2</v>
      </c>
      <c r="C9" s="6" t="s">
        <v>24</v>
      </c>
      <c r="D9" s="6" t="s">
        <v>21</v>
      </c>
      <c r="E9" s="5" t="s">
        <v>22</v>
      </c>
      <c r="F9" s="5" t="s">
        <v>23</v>
      </c>
      <c r="G9" s="2" t="s">
        <v>161</v>
      </c>
      <c r="I9" s="2">
        <f t="shared" si="1"/>
        <v>160</v>
      </c>
      <c r="J9" s="2">
        <v>170</v>
      </c>
      <c r="K9" s="2">
        <v>31258</v>
      </c>
      <c r="M9" s="2" t="s">
        <v>155</v>
      </c>
      <c r="N9" s="2" t="s">
        <v>159</v>
      </c>
      <c r="Q9" s="2">
        <f t="shared" si="0"/>
        <v>10</v>
      </c>
      <c r="S9" s="27">
        <v>2280669</v>
      </c>
      <c r="T9" s="32"/>
      <c r="U9" s="9" t="s">
        <v>206</v>
      </c>
      <c r="V9" s="14"/>
      <c r="W9" s="14" t="s">
        <v>198</v>
      </c>
      <c r="AV9" s="2">
        <v>80</v>
      </c>
    </row>
    <row r="10" spans="1:48" x14ac:dyDescent="0.25">
      <c r="A10" s="12" t="s">
        <v>277</v>
      </c>
      <c r="B10" s="2">
        <v>2</v>
      </c>
      <c r="C10" s="6" t="s">
        <v>26</v>
      </c>
      <c r="D10" s="6" t="s">
        <v>21</v>
      </c>
      <c r="E10" s="5" t="s">
        <v>22</v>
      </c>
      <c r="F10" s="5" t="s">
        <v>23</v>
      </c>
      <c r="G10" s="2" t="s">
        <v>161</v>
      </c>
      <c r="I10" s="2">
        <f t="shared" si="1"/>
        <v>160</v>
      </c>
      <c r="J10" s="2">
        <v>85</v>
      </c>
      <c r="K10" s="2">
        <v>31340</v>
      </c>
      <c r="M10" s="2" t="s">
        <v>155</v>
      </c>
      <c r="N10" s="2" t="s">
        <v>159</v>
      </c>
      <c r="Q10" s="2">
        <f t="shared" si="0"/>
        <v>-75</v>
      </c>
      <c r="S10" s="37">
        <v>2773239</v>
      </c>
      <c r="T10" s="14"/>
      <c r="U10" s="36" t="s">
        <v>256</v>
      </c>
      <c r="V10" s="14"/>
      <c r="W10" s="14" t="s">
        <v>198</v>
      </c>
      <c r="AV10" s="2">
        <v>80</v>
      </c>
    </row>
    <row r="11" spans="1:48" x14ac:dyDescent="0.25">
      <c r="A11" s="12" t="s">
        <v>27</v>
      </c>
      <c r="B11" s="2">
        <v>2</v>
      </c>
      <c r="C11" s="6" t="s">
        <v>28</v>
      </c>
      <c r="D11" s="6" t="s">
        <v>21</v>
      </c>
      <c r="E11" s="5" t="s">
        <v>22</v>
      </c>
      <c r="F11" s="5" t="s">
        <v>23</v>
      </c>
      <c r="G11" s="2" t="s">
        <v>161</v>
      </c>
      <c r="I11" s="2">
        <f t="shared" si="1"/>
        <v>160</v>
      </c>
      <c r="J11" s="2">
        <v>170</v>
      </c>
      <c r="K11" s="2">
        <v>31258</v>
      </c>
      <c r="M11" s="2" t="s">
        <v>155</v>
      </c>
      <c r="N11" s="2" t="s">
        <v>159</v>
      </c>
      <c r="Q11" s="2">
        <f t="shared" si="0"/>
        <v>10</v>
      </c>
      <c r="S11" s="28">
        <v>1414696</v>
      </c>
      <c r="T11" s="33"/>
      <c r="U11" s="23" t="s">
        <v>208</v>
      </c>
      <c r="V11" s="14"/>
      <c r="W11" s="14" t="s">
        <v>198</v>
      </c>
      <c r="AV11" s="2">
        <v>80</v>
      </c>
    </row>
    <row r="12" spans="1:48" x14ac:dyDescent="0.25">
      <c r="A12" s="12" t="s">
        <v>29</v>
      </c>
      <c r="B12" s="2">
        <v>4</v>
      </c>
      <c r="C12" s="6" t="s">
        <v>30</v>
      </c>
      <c r="D12" s="6" t="s">
        <v>31</v>
      </c>
      <c r="E12" s="5" t="s">
        <v>22</v>
      </c>
      <c r="F12" s="5" t="s">
        <v>23</v>
      </c>
      <c r="G12" s="2" t="s">
        <v>161</v>
      </c>
      <c r="I12" s="2">
        <f t="shared" si="1"/>
        <v>320</v>
      </c>
      <c r="J12" s="2">
        <v>340</v>
      </c>
      <c r="K12" s="2">
        <v>31258</v>
      </c>
      <c r="M12" s="2" t="s">
        <v>155</v>
      </c>
      <c r="N12" s="2" t="s">
        <v>159</v>
      </c>
      <c r="Q12" s="2">
        <f t="shared" si="0"/>
        <v>20</v>
      </c>
      <c r="S12" s="29">
        <v>1759189</v>
      </c>
      <c r="T12" s="34"/>
      <c r="U12" s="23" t="s">
        <v>209</v>
      </c>
      <c r="W12" s="2" t="s">
        <v>198</v>
      </c>
      <c r="AV12" s="2">
        <v>80</v>
      </c>
    </row>
    <row r="13" spans="1:48" x14ac:dyDescent="0.25">
      <c r="A13" s="12" t="s">
        <v>32</v>
      </c>
      <c r="B13" s="2">
        <v>2</v>
      </c>
      <c r="C13" s="6" t="s">
        <v>33</v>
      </c>
      <c r="D13" s="6" t="s">
        <v>21</v>
      </c>
      <c r="E13" s="5" t="s">
        <v>22</v>
      </c>
      <c r="F13" s="5" t="s">
        <v>285</v>
      </c>
      <c r="G13" s="2" t="s">
        <v>161</v>
      </c>
      <c r="I13" s="2">
        <f t="shared" si="1"/>
        <v>160</v>
      </c>
      <c r="J13" s="2">
        <v>174</v>
      </c>
      <c r="K13" s="2">
        <v>31258</v>
      </c>
      <c r="M13" s="2" t="s">
        <v>155</v>
      </c>
      <c r="N13" s="2" t="s">
        <v>159</v>
      </c>
      <c r="Q13" s="2">
        <f t="shared" si="0"/>
        <v>14</v>
      </c>
      <c r="S13" s="29">
        <v>1432430</v>
      </c>
      <c r="T13" s="34"/>
      <c r="U13" s="23" t="s">
        <v>210</v>
      </c>
      <c r="W13" s="2" t="s">
        <v>198</v>
      </c>
      <c r="AV13" s="2">
        <v>80</v>
      </c>
    </row>
    <row r="14" spans="1:48" x14ac:dyDescent="0.25">
      <c r="A14" s="12" t="s">
        <v>165</v>
      </c>
      <c r="B14" s="2">
        <v>28</v>
      </c>
      <c r="C14" s="6" t="s">
        <v>25</v>
      </c>
      <c r="D14" s="6" t="s">
        <v>21</v>
      </c>
      <c r="E14" s="5" t="s">
        <v>22</v>
      </c>
      <c r="F14" s="5" t="s">
        <v>23</v>
      </c>
      <c r="G14" s="2" t="s">
        <v>161</v>
      </c>
      <c r="I14" s="2">
        <f t="shared" si="1"/>
        <v>2240</v>
      </c>
      <c r="J14" s="2">
        <v>2400</v>
      </c>
      <c r="K14" s="2">
        <v>31258</v>
      </c>
      <c r="M14" s="2" t="s">
        <v>155</v>
      </c>
      <c r="N14" s="2" t="s">
        <v>159</v>
      </c>
      <c r="Q14" s="2">
        <f t="shared" si="0"/>
        <v>160</v>
      </c>
      <c r="S14" s="30">
        <v>2280669</v>
      </c>
      <c r="T14" s="16"/>
      <c r="U14" s="9" t="s">
        <v>207</v>
      </c>
      <c r="W14" s="2" t="s">
        <v>198</v>
      </c>
      <c r="AV14" s="2">
        <v>80</v>
      </c>
    </row>
    <row r="15" spans="1:48" s="50" customFormat="1" x14ac:dyDescent="0.25">
      <c r="A15" s="46"/>
      <c r="B15" s="47"/>
      <c r="C15" s="48"/>
      <c r="D15" s="48"/>
      <c r="E15" s="49"/>
      <c r="F15" s="49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8"/>
      <c r="T15" s="47"/>
      <c r="U15" s="47"/>
      <c r="V15" s="47"/>
      <c r="W15" s="47" t="s">
        <v>198</v>
      </c>
      <c r="X15" s="48"/>
      <c r="AV15" s="47"/>
    </row>
    <row r="16" spans="1:48" x14ac:dyDescent="0.25">
      <c r="A16" s="12" t="s">
        <v>34</v>
      </c>
      <c r="B16" s="2">
        <v>1</v>
      </c>
      <c r="C16" s="6" t="s">
        <v>35</v>
      </c>
      <c r="D16" s="6" t="s">
        <v>35</v>
      </c>
      <c r="E16" s="5" t="s">
        <v>36</v>
      </c>
      <c r="F16" s="5" t="s">
        <v>37</v>
      </c>
      <c r="G16" s="2" t="s">
        <v>161</v>
      </c>
      <c r="I16" s="2">
        <f t="shared" ref="I16:I21" si="2">B16*AV16</f>
        <v>80</v>
      </c>
      <c r="J16" s="2">
        <v>90</v>
      </c>
      <c r="K16" s="2">
        <v>31258</v>
      </c>
      <c r="M16" s="2" t="s">
        <v>155</v>
      </c>
      <c r="N16" s="2" t="s">
        <v>159</v>
      </c>
      <c r="Q16" s="2">
        <f t="shared" si="0"/>
        <v>10</v>
      </c>
      <c r="S16" s="30">
        <v>2319152</v>
      </c>
      <c r="T16" s="16"/>
      <c r="U16" s="9" t="s">
        <v>211</v>
      </c>
      <c r="W16" s="2" t="s">
        <v>198</v>
      </c>
      <c r="AV16" s="2">
        <v>80</v>
      </c>
    </row>
    <row r="17" spans="1:48" x14ac:dyDescent="0.25">
      <c r="A17" s="12" t="s">
        <v>38</v>
      </c>
      <c r="B17" s="2">
        <v>2</v>
      </c>
      <c r="C17" s="6" t="s">
        <v>39</v>
      </c>
      <c r="D17" s="6" t="s">
        <v>39</v>
      </c>
      <c r="E17" s="5" t="s">
        <v>40</v>
      </c>
      <c r="F17" s="5" t="s">
        <v>41</v>
      </c>
      <c r="G17" s="2" t="s">
        <v>154</v>
      </c>
      <c r="I17" s="2">
        <f t="shared" si="2"/>
        <v>160</v>
      </c>
      <c r="J17" s="2">
        <v>200</v>
      </c>
      <c r="K17" s="2">
        <v>31361</v>
      </c>
      <c r="M17" s="2" t="s">
        <v>155</v>
      </c>
      <c r="N17" s="2" t="s">
        <v>159</v>
      </c>
      <c r="O17" s="4">
        <v>44718</v>
      </c>
      <c r="Q17" s="2">
        <f t="shared" si="0"/>
        <v>40</v>
      </c>
      <c r="S17" s="6" t="s">
        <v>261</v>
      </c>
      <c r="U17" s="36" t="s">
        <v>258</v>
      </c>
      <c r="W17" s="2" t="s">
        <v>198</v>
      </c>
      <c r="AV17" s="2">
        <v>80</v>
      </c>
    </row>
    <row r="18" spans="1:48" x14ac:dyDescent="0.25">
      <c r="A18" s="12" t="s">
        <v>42</v>
      </c>
      <c r="B18" s="2">
        <v>2</v>
      </c>
      <c r="C18" s="6" t="s">
        <v>43</v>
      </c>
      <c r="D18" s="6" t="s">
        <v>44</v>
      </c>
      <c r="E18" s="5" t="s">
        <v>278</v>
      </c>
      <c r="F18" s="5" t="s">
        <v>45</v>
      </c>
      <c r="G18" s="2" t="s">
        <v>161</v>
      </c>
      <c r="I18" s="2">
        <f t="shared" si="2"/>
        <v>160</v>
      </c>
      <c r="J18" s="2">
        <v>170</v>
      </c>
      <c r="K18" s="2">
        <v>31258</v>
      </c>
      <c r="M18" s="2" t="s">
        <v>155</v>
      </c>
      <c r="N18" s="2" t="s">
        <v>159</v>
      </c>
      <c r="Q18" s="2">
        <f t="shared" si="0"/>
        <v>10</v>
      </c>
      <c r="S18" s="29">
        <v>1524157</v>
      </c>
      <c r="T18" s="34"/>
      <c r="U18" s="23" t="s">
        <v>212</v>
      </c>
      <c r="W18" s="2" t="s">
        <v>198</v>
      </c>
      <c r="AV18" s="2">
        <v>80</v>
      </c>
    </row>
    <row r="19" spans="1:48" x14ac:dyDescent="0.25">
      <c r="A19" s="12" t="s">
        <v>46</v>
      </c>
      <c r="B19" s="2">
        <v>1</v>
      </c>
      <c r="C19" s="6" t="s">
        <v>213</v>
      </c>
      <c r="D19" s="6" t="s">
        <v>166</v>
      </c>
      <c r="E19" s="5" t="s">
        <v>265</v>
      </c>
      <c r="F19" s="5" t="s">
        <v>48</v>
      </c>
      <c r="G19" s="2" t="s">
        <v>161</v>
      </c>
      <c r="I19" s="2">
        <f t="shared" si="2"/>
        <v>80</v>
      </c>
      <c r="J19" s="2">
        <v>260</v>
      </c>
      <c r="K19" s="2">
        <v>31258</v>
      </c>
      <c r="M19" s="2" t="s">
        <v>155</v>
      </c>
      <c r="N19" s="2" t="s">
        <v>159</v>
      </c>
      <c r="Q19" s="2">
        <f t="shared" si="0"/>
        <v>180</v>
      </c>
      <c r="S19" s="29">
        <v>3796324</v>
      </c>
      <c r="T19" s="24"/>
      <c r="U19" s="23" t="s">
        <v>216</v>
      </c>
      <c r="W19" s="2" t="s">
        <v>198</v>
      </c>
      <c r="AV19" s="2">
        <v>80</v>
      </c>
    </row>
    <row r="20" spans="1:48" x14ac:dyDescent="0.25">
      <c r="A20" s="12" t="s">
        <v>49</v>
      </c>
      <c r="B20" s="2">
        <v>1</v>
      </c>
      <c r="C20" s="6" t="s">
        <v>214</v>
      </c>
      <c r="D20" s="6" t="s">
        <v>167</v>
      </c>
      <c r="E20" s="5" t="s">
        <v>265</v>
      </c>
      <c r="F20" s="5" t="s">
        <v>48</v>
      </c>
      <c r="G20" s="2" t="s">
        <v>161</v>
      </c>
      <c r="I20" s="2">
        <f t="shared" si="2"/>
        <v>80</v>
      </c>
      <c r="J20" s="2">
        <v>100</v>
      </c>
      <c r="K20" s="2">
        <v>31258</v>
      </c>
      <c r="M20" s="2" t="s">
        <v>155</v>
      </c>
      <c r="N20" s="2" t="s">
        <v>159</v>
      </c>
      <c r="Q20" s="2">
        <f t="shared" si="0"/>
        <v>20</v>
      </c>
      <c r="S20" s="30">
        <v>2290332</v>
      </c>
      <c r="T20" s="10"/>
      <c r="U20" s="9" t="s">
        <v>217</v>
      </c>
      <c r="W20" s="2" t="s">
        <v>198</v>
      </c>
      <c r="AV20" s="2">
        <v>80</v>
      </c>
    </row>
    <row r="21" spans="1:48" x14ac:dyDescent="0.25">
      <c r="A21" s="12" t="s">
        <v>50</v>
      </c>
      <c r="B21" s="2">
        <v>2</v>
      </c>
      <c r="C21" s="6" t="s">
        <v>215</v>
      </c>
      <c r="D21" s="6" t="s">
        <v>47</v>
      </c>
      <c r="E21" s="5" t="s">
        <v>265</v>
      </c>
      <c r="F21" s="5" t="s">
        <v>48</v>
      </c>
      <c r="G21" s="2" t="s">
        <v>161</v>
      </c>
      <c r="I21" s="2">
        <f t="shared" si="2"/>
        <v>160</v>
      </c>
      <c r="J21" s="2">
        <v>170</v>
      </c>
      <c r="K21" s="2">
        <v>31340</v>
      </c>
      <c r="M21" s="2" t="s">
        <v>155</v>
      </c>
      <c r="N21" s="2" t="s">
        <v>159</v>
      </c>
      <c r="Q21" s="2">
        <f t="shared" si="0"/>
        <v>10</v>
      </c>
      <c r="S21" s="37">
        <v>1581241</v>
      </c>
      <c r="T21" s="5"/>
      <c r="U21" t="s">
        <v>257</v>
      </c>
      <c r="W21" s="2" t="s">
        <v>198</v>
      </c>
      <c r="AV21" s="2">
        <v>80</v>
      </c>
    </row>
    <row r="22" spans="1:48" s="50" customFormat="1" x14ac:dyDescent="0.25">
      <c r="A22" s="46"/>
      <c r="B22" s="47"/>
      <c r="C22" s="48"/>
      <c r="D22" s="48"/>
      <c r="E22" s="49"/>
      <c r="F22" s="49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8"/>
      <c r="T22" s="47"/>
      <c r="U22" s="47"/>
      <c r="V22" s="47"/>
      <c r="W22" s="47" t="s">
        <v>198</v>
      </c>
      <c r="X22" s="48"/>
      <c r="AV22" s="47"/>
    </row>
    <row r="23" spans="1:48" x14ac:dyDescent="0.25">
      <c r="A23" s="12" t="s">
        <v>51</v>
      </c>
      <c r="B23" s="2">
        <v>8</v>
      </c>
      <c r="C23" s="6" t="s">
        <v>20</v>
      </c>
      <c r="D23" s="6" t="s">
        <v>20</v>
      </c>
      <c r="E23" s="10" t="s">
        <v>266</v>
      </c>
      <c r="F23" s="5" t="s">
        <v>52</v>
      </c>
      <c r="G23" s="2" t="s">
        <v>161</v>
      </c>
      <c r="I23" s="2">
        <f>B23*AV23</f>
        <v>640</v>
      </c>
      <c r="J23" s="2">
        <v>670</v>
      </c>
      <c r="K23" s="2">
        <v>31258</v>
      </c>
      <c r="M23" s="2" t="s">
        <v>155</v>
      </c>
      <c r="N23" s="2" t="s">
        <v>159</v>
      </c>
      <c r="Q23" s="2">
        <f t="shared" si="0"/>
        <v>30</v>
      </c>
      <c r="S23" s="26">
        <v>2069174</v>
      </c>
      <c r="T23" s="14"/>
      <c r="U23" s="15" t="s">
        <v>204</v>
      </c>
      <c r="V23" s="14"/>
      <c r="W23" s="14" t="s">
        <v>198</v>
      </c>
      <c r="X23" s="26"/>
      <c r="AV23" s="2">
        <v>80</v>
      </c>
    </row>
    <row r="24" spans="1:48" x14ac:dyDescent="0.25">
      <c r="A24" s="12" t="s">
        <v>53</v>
      </c>
      <c r="B24" s="2">
        <v>3</v>
      </c>
      <c r="C24" s="6" t="s">
        <v>54</v>
      </c>
      <c r="D24" s="6" t="s">
        <v>54</v>
      </c>
      <c r="E24" s="24" t="s">
        <v>267</v>
      </c>
      <c r="F24" s="5" t="s">
        <v>52</v>
      </c>
      <c r="G24" s="2" t="s">
        <v>161</v>
      </c>
      <c r="I24" s="2">
        <f>B24*AV24</f>
        <v>240</v>
      </c>
      <c r="J24" s="2">
        <v>252</v>
      </c>
      <c r="K24" s="2">
        <v>31258</v>
      </c>
      <c r="M24" s="2" t="s">
        <v>155</v>
      </c>
      <c r="N24" s="2" t="s">
        <v>159</v>
      </c>
      <c r="Q24" s="2">
        <f t="shared" si="0"/>
        <v>12</v>
      </c>
      <c r="S24" s="29">
        <v>2068675</v>
      </c>
      <c r="T24" s="34"/>
      <c r="U24" s="23" t="s">
        <v>205</v>
      </c>
      <c r="W24" s="2" t="s">
        <v>198</v>
      </c>
      <c r="AV24" s="2">
        <v>80</v>
      </c>
    </row>
    <row r="25" spans="1:48" s="50" customFormat="1" x14ac:dyDescent="0.25">
      <c r="A25" s="46"/>
      <c r="B25" s="47"/>
      <c r="C25" s="48"/>
      <c r="D25" s="48"/>
      <c r="E25" s="49"/>
      <c r="F25" s="49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8"/>
      <c r="T25" s="47"/>
      <c r="U25" s="47"/>
      <c r="V25" s="47"/>
      <c r="W25" s="47" t="s">
        <v>198</v>
      </c>
      <c r="X25" s="48"/>
      <c r="AV25" s="47"/>
    </row>
    <row r="26" spans="1:48" x14ac:dyDescent="0.25">
      <c r="A26" s="12" t="s">
        <v>168</v>
      </c>
      <c r="B26" s="2">
        <v>2</v>
      </c>
      <c r="C26" s="6" t="s">
        <v>55</v>
      </c>
      <c r="D26" s="6" t="s">
        <v>56</v>
      </c>
      <c r="E26" s="5" t="s">
        <v>57</v>
      </c>
      <c r="F26" s="5" t="s">
        <v>56</v>
      </c>
      <c r="G26" s="2" t="s">
        <v>161</v>
      </c>
      <c r="I26" s="2">
        <f>B26*AV26</f>
        <v>160</v>
      </c>
      <c r="J26" s="2">
        <v>168</v>
      </c>
      <c r="K26" s="2">
        <v>31258</v>
      </c>
      <c r="M26" s="2" t="s">
        <v>155</v>
      </c>
      <c r="N26" s="2" t="s">
        <v>159</v>
      </c>
      <c r="Q26" s="2">
        <f t="shared" si="0"/>
        <v>8</v>
      </c>
      <c r="S26" s="6">
        <v>1597013</v>
      </c>
      <c r="T26" s="5"/>
      <c r="U26" s="18" t="s">
        <v>218</v>
      </c>
      <c r="W26" s="2" t="s">
        <v>198</v>
      </c>
      <c r="AV26" s="2">
        <v>80</v>
      </c>
    </row>
    <row r="27" spans="1:48" s="50" customFormat="1" x14ac:dyDescent="0.25">
      <c r="A27" s="46"/>
      <c r="B27" s="47"/>
      <c r="C27" s="48"/>
      <c r="D27" s="48"/>
      <c r="E27" s="49"/>
      <c r="F27" s="49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8"/>
      <c r="T27" s="47"/>
      <c r="U27" s="47"/>
      <c r="V27" s="47"/>
      <c r="W27" s="47" t="s">
        <v>198</v>
      </c>
      <c r="X27" s="48"/>
      <c r="AV27" s="47"/>
    </row>
    <row r="28" spans="1:48" x14ac:dyDescent="0.25">
      <c r="A28" s="12" t="s">
        <v>58</v>
      </c>
      <c r="B28" s="2">
        <v>2</v>
      </c>
      <c r="C28" s="6" t="s">
        <v>59</v>
      </c>
      <c r="D28" s="6" t="s">
        <v>60</v>
      </c>
      <c r="E28" s="5" t="s">
        <v>61</v>
      </c>
      <c r="F28" s="5" t="s">
        <v>62</v>
      </c>
      <c r="G28" s="2" t="s">
        <v>154</v>
      </c>
      <c r="I28" s="2">
        <f>B28*AV28</f>
        <v>160</v>
      </c>
      <c r="J28" s="2">
        <v>200</v>
      </c>
      <c r="K28" s="2">
        <v>31244</v>
      </c>
      <c r="M28" s="2" t="s">
        <v>155</v>
      </c>
      <c r="N28" s="2" t="s">
        <v>155</v>
      </c>
      <c r="O28" s="2" t="s">
        <v>155</v>
      </c>
      <c r="Q28" s="2">
        <f t="shared" si="0"/>
        <v>40</v>
      </c>
      <c r="S28" s="30" t="s">
        <v>219</v>
      </c>
      <c r="T28" s="10"/>
      <c r="U28" s="9" t="s">
        <v>220</v>
      </c>
      <c r="W28" s="2" t="s">
        <v>198</v>
      </c>
      <c r="AV28" s="2">
        <v>80</v>
      </c>
    </row>
    <row r="29" spans="1:48" s="50" customFormat="1" x14ac:dyDescent="0.25">
      <c r="A29" s="46"/>
      <c r="B29" s="47"/>
      <c r="C29" s="48"/>
      <c r="D29" s="48"/>
      <c r="E29" s="49"/>
      <c r="F29" s="49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8"/>
      <c r="T29" s="47"/>
      <c r="U29" s="47"/>
      <c r="V29" s="47"/>
      <c r="W29" s="47" t="s">
        <v>198</v>
      </c>
      <c r="X29" s="48"/>
      <c r="AV29" s="47"/>
    </row>
    <row r="30" spans="1:48" x14ac:dyDescent="0.25">
      <c r="I30" s="2">
        <f>B30*AV30</f>
        <v>0</v>
      </c>
      <c r="Q30" s="2">
        <f t="shared" si="0"/>
        <v>0</v>
      </c>
      <c r="W30" s="2" t="s">
        <v>198</v>
      </c>
      <c r="AV30" s="2">
        <v>80</v>
      </c>
    </row>
    <row r="31" spans="1:48" x14ac:dyDescent="0.25">
      <c r="A31" s="13" t="s">
        <v>170</v>
      </c>
      <c r="W31" s="2" t="s">
        <v>198</v>
      </c>
    </row>
    <row r="32" spans="1:48" x14ac:dyDescent="0.25">
      <c r="A32" s="12" t="s">
        <v>83</v>
      </c>
      <c r="B32" s="2">
        <v>1</v>
      </c>
      <c r="C32" s="6" t="s">
        <v>186</v>
      </c>
      <c r="D32" s="6" t="s">
        <v>65</v>
      </c>
      <c r="E32" s="5" t="s">
        <v>66</v>
      </c>
      <c r="F32" s="5" t="s">
        <v>269</v>
      </c>
      <c r="G32" s="2" t="s">
        <v>161</v>
      </c>
      <c r="I32" s="2">
        <f>B32*AV33</f>
        <v>80</v>
      </c>
      <c r="J32" s="2">
        <v>100</v>
      </c>
      <c r="K32" s="2">
        <v>31258</v>
      </c>
      <c r="M32" s="2" t="s">
        <v>155</v>
      </c>
      <c r="N32" s="2" t="s">
        <v>159</v>
      </c>
      <c r="Q32" s="2">
        <f>J32-I32</f>
        <v>20</v>
      </c>
      <c r="S32" s="6">
        <v>1022248</v>
      </c>
      <c r="T32" s="5"/>
      <c r="U32" s="18" t="s">
        <v>222</v>
      </c>
      <c r="W32" s="2" t="s">
        <v>198</v>
      </c>
      <c r="AV32" s="2">
        <v>80</v>
      </c>
    </row>
    <row r="33" spans="1:48" x14ac:dyDescent="0.25">
      <c r="A33" s="12" t="s">
        <v>172</v>
      </c>
      <c r="B33" s="2">
        <v>6</v>
      </c>
      <c r="C33" s="6" t="s">
        <v>170</v>
      </c>
      <c r="D33" s="6" t="s">
        <v>178</v>
      </c>
      <c r="E33" s="5" t="s">
        <v>64</v>
      </c>
      <c r="F33" s="5" t="s">
        <v>269</v>
      </c>
      <c r="G33" s="2" t="s">
        <v>161</v>
      </c>
      <c r="I33" s="2">
        <f>B33*AV33</f>
        <v>480</v>
      </c>
      <c r="J33" s="2">
        <v>500</v>
      </c>
      <c r="K33" s="2">
        <v>31258</v>
      </c>
      <c r="M33" s="2" t="s">
        <v>155</v>
      </c>
      <c r="N33" s="2" t="s">
        <v>159</v>
      </c>
      <c r="Q33" s="2">
        <f>J33-I33</f>
        <v>20</v>
      </c>
      <c r="S33" s="6">
        <v>1022262</v>
      </c>
      <c r="T33" s="5"/>
      <c r="U33" s="18" t="s">
        <v>223</v>
      </c>
      <c r="W33" s="2" t="s">
        <v>198</v>
      </c>
      <c r="AV33" s="2">
        <v>80</v>
      </c>
    </row>
    <row r="34" spans="1:48" x14ac:dyDescent="0.25">
      <c r="A34" s="12" t="s">
        <v>173</v>
      </c>
      <c r="B34" s="2">
        <v>6</v>
      </c>
      <c r="C34" s="6" t="s">
        <v>179</v>
      </c>
      <c r="D34" s="6" t="s">
        <v>180</v>
      </c>
      <c r="E34" s="5" t="s">
        <v>181</v>
      </c>
      <c r="F34" s="5" t="s">
        <v>269</v>
      </c>
      <c r="G34" s="2" t="s">
        <v>161</v>
      </c>
      <c r="I34" s="2">
        <f>B34*AV34</f>
        <v>480</v>
      </c>
      <c r="J34" s="2">
        <v>500</v>
      </c>
      <c r="K34" s="2">
        <v>31258</v>
      </c>
      <c r="M34" s="2" t="s">
        <v>155</v>
      </c>
      <c r="N34" s="2" t="s">
        <v>159</v>
      </c>
      <c r="Q34" s="2">
        <f>J34-I34</f>
        <v>20</v>
      </c>
      <c r="S34" s="6">
        <v>1593469</v>
      </c>
      <c r="T34" s="5"/>
      <c r="U34" s="18" t="s">
        <v>224</v>
      </c>
      <c r="W34" s="2" t="s">
        <v>198</v>
      </c>
      <c r="AV34" s="2">
        <v>80</v>
      </c>
    </row>
    <row r="35" spans="1:48" x14ac:dyDescent="0.25">
      <c r="I35" s="2">
        <f>B35*AV34</f>
        <v>0</v>
      </c>
      <c r="Q35" s="2">
        <f t="shared" ref="Q35:Q54" si="3">J35-I35</f>
        <v>0</v>
      </c>
      <c r="W35" s="2" t="s">
        <v>198</v>
      </c>
    </row>
    <row r="36" spans="1:48" x14ac:dyDescent="0.25">
      <c r="A36" s="13" t="s">
        <v>169</v>
      </c>
      <c r="I36" s="2">
        <f>B36*AV36</f>
        <v>0</v>
      </c>
      <c r="Q36" s="2">
        <f t="shared" si="3"/>
        <v>0</v>
      </c>
      <c r="W36" s="2" t="s">
        <v>198</v>
      </c>
      <c r="AV36" s="2">
        <v>80</v>
      </c>
    </row>
    <row r="37" spans="1:48" x14ac:dyDescent="0.25">
      <c r="A37" s="12" t="s">
        <v>171</v>
      </c>
      <c r="B37" s="2">
        <v>3</v>
      </c>
      <c r="C37" s="6" t="s">
        <v>287</v>
      </c>
      <c r="D37" s="6" t="s">
        <v>63</v>
      </c>
      <c r="E37" s="5" t="s">
        <v>64</v>
      </c>
      <c r="F37" s="5" t="s">
        <v>286</v>
      </c>
      <c r="G37" s="2" t="s">
        <v>161</v>
      </c>
      <c r="I37" s="2">
        <f>B37*AV32</f>
        <v>240</v>
      </c>
      <c r="J37" s="2">
        <v>252</v>
      </c>
      <c r="K37" s="2">
        <v>31258</v>
      </c>
      <c r="M37" s="2" t="s">
        <v>155</v>
      </c>
      <c r="N37" s="2" t="s">
        <v>159</v>
      </c>
      <c r="Q37" s="2">
        <f>J37-I37</f>
        <v>12</v>
      </c>
      <c r="S37" s="30">
        <v>9731679</v>
      </c>
      <c r="T37" s="10"/>
      <c r="U37" s="9" t="s">
        <v>221</v>
      </c>
      <c r="W37" s="2" t="s">
        <v>198</v>
      </c>
      <c r="AV37" s="2">
        <v>80</v>
      </c>
    </row>
    <row r="38" spans="1:48" x14ac:dyDescent="0.25">
      <c r="A38" s="12" t="s">
        <v>67</v>
      </c>
      <c r="B38" s="2">
        <v>1</v>
      </c>
      <c r="C38" s="6" t="s">
        <v>184</v>
      </c>
      <c r="D38" s="6" t="s">
        <v>184</v>
      </c>
      <c r="E38" s="5" t="s">
        <v>185</v>
      </c>
      <c r="F38" s="5" t="s">
        <v>68</v>
      </c>
      <c r="G38" s="2" t="s">
        <v>154</v>
      </c>
      <c r="I38" s="2">
        <f t="shared" ref="I38:I46" si="4">B38*AV38</f>
        <v>80</v>
      </c>
      <c r="J38" s="2">
        <v>80</v>
      </c>
      <c r="K38" s="2">
        <v>31244</v>
      </c>
      <c r="M38" s="2" t="s">
        <v>155</v>
      </c>
      <c r="N38" s="2" t="s">
        <v>155</v>
      </c>
      <c r="O38" s="2" t="s">
        <v>155</v>
      </c>
      <c r="Q38" s="2">
        <f>J38-I38</f>
        <v>0</v>
      </c>
      <c r="S38" s="6" t="s">
        <v>225</v>
      </c>
      <c r="T38" s="5"/>
      <c r="U38" s="18" t="s">
        <v>226</v>
      </c>
      <c r="W38" s="2" t="s">
        <v>198</v>
      </c>
      <c r="AV38" s="2">
        <v>80</v>
      </c>
    </row>
    <row r="39" spans="1:48" x14ac:dyDescent="0.25">
      <c r="A39" s="12" t="s">
        <v>69</v>
      </c>
      <c r="B39" s="2">
        <v>1</v>
      </c>
      <c r="C39" s="6" t="s">
        <v>70</v>
      </c>
      <c r="D39" s="6">
        <v>2784974</v>
      </c>
      <c r="F39" s="5" t="s">
        <v>71</v>
      </c>
      <c r="G39" s="2" t="s">
        <v>161</v>
      </c>
      <c r="I39" s="2">
        <f t="shared" si="4"/>
        <v>80</v>
      </c>
      <c r="J39" s="2">
        <v>100</v>
      </c>
      <c r="K39" s="2">
        <v>31258</v>
      </c>
      <c r="M39" s="2" t="s">
        <v>155</v>
      </c>
      <c r="N39" s="2" t="s">
        <v>159</v>
      </c>
      <c r="Q39" s="2">
        <f>J39-I39</f>
        <v>20</v>
      </c>
      <c r="S39" s="6">
        <v>2784974</v>
      </c>
      <c r="T39" s="5"/>
      <c r="U39" s="18" t="s">
        <v>227</v>
      </c>
      <c r="W39" s="2" t="s">
        <v>198</v>
      </c>
      <c r="AV39" s="2">
        <v>80</v>
      </c>
    </row>
    <row r="40" spans="1:48" x14ac:dyDescent="0.25">
      <c r="A40" s="12" t="s">
        <v>72</v>
      </c>
      <c r="B40" s="2">
        <v>2</v>
      </c>
      <c r="C40" s="6" t="s">
        <v>73</v>
      </c>
      <c r="D40" s="6">
        <v>2293774</v>
      </c>
      <c r="E40" s="5" t="s">
        <v>74</v>
      </c>
      <c r="F40" s="5" t="s">
        <v>75</v>
      </c>
      <c r="G40" s="2" t="s">
        <v>161</v>
      </c>
      <c r="I40" s="2">
        <f t="shared" si="4"/>
        <v>160</v>
      </c>
      <c r="J40" s="2">
        <v>170</v>
      </c>
      <c r="K40" s="2">
        <v>31258</v>
      </c>
      <c r="M40" s="2" t="s">
        <v>155</v>
      </c>
      <c r="N40" s="2" t="s">
        <v>159</v>
      </c>
      <c r="Q40" s="2">
        <f>J40-I40</f>
        <v>10</v>
      </c>
      <c r="S40" s="6">
        <v>2293774</v>
      </c>
      <c r="T40" s="5"/>
      <c r="U40" s="18" t="s">
        <v>228</v>
      </c>
      <c r="W40" s="2" t="s">
        <v>198</v>
      </c>
      <c r="AV40" s="2">
        <v>80</v>
      </c>
    </row>
    <row r="41" spans="1:48" x14ac:dyDescent="0.25">
      <c r="A41" s="12" t="s">
        <v>174</v>
      </c>
      <c r="B41" s="2">
        <v>4</v>
      </c>
      <c r="C41" s="6" t="s">
        <v>187</v>
      </c>
      <c r="D41" s="6">
        <v>2008019</v>
      </c>
      <c r="E41" s="5" t="s">
        <v>78</v>
      </c>
      <c r="F41" s="5" t="s">
        <v>79</v>
      </c>
      <c r="G41" s="2" t="s">
        <v>161</v>
      </c>
      <c r="I41" s="2">
        <f t="shared" si="4"/>
        <v>320</v>
      </c>
      <c r="J41" s="2">
        <v>335</v>
      </c>
      <c r="K41" s="2">
        <v>31258</v>
      </c>
      <c r="M41" s="2" t="s">
        <v>155</v>
      </c>
      <c r="N41" s="2" t="s">
        <v>159</v>
      </c>
      <c r="Q41" s="2">
        <f t="shared" si="3"/>
        <v>15</v>
      </c>
      <c r="S41" s="6">
        <v>2008019</v>
      </c>
      <c r="T41" s="5"/>
      <c r="U41" s="18" t="s">
        <v>229</v>
      </c>
      <c r="W41" s="2" t="s">
        <v>198</v>
      </c>
      <c r="AV41" s="2">
        <v>80</v>
      </c>
    </row>
    <row r="42" spans="1:48" x14ac:dyDescent="0.25">
      <c r="A42" s="12" t="s">
        <v>175</v>
      </c>
      <c r="B42" s="2">
        <v>2</v>
      </c>
      <c r="C42" s="6" t="s">
        <v>188</v>
      </c>
      <c r="D42" s="6">
        <v>2008020</v>
      </c>
      <c r="E42" s="5" t="s">
        <v>80</v>
      </c>
      <c r="F42" s="5" t="s">
        <v>81</v>
      </c>
      <c r="G42" s="2" t="s">
        <v>161</v>
      </c>
      <c r="I42" s="2">
        <f t="shared" si="4"/>
        <v>160</v>
      </c>
      <c r="J42" s="2">
        <v>170</v>
      </c>
      <c r="K42" s="2">
        <v>31258</v>
      </c>
      <c r="M42" s="2" t="s">
        <v>155</v>
      </c>
      <c r="N42" s="2" t="s">
        <v>159</v>
      </c>
      <c r="Q42" s="2">
        <f t="shared" si="3"/>
        <v>10</v>
      </c>
      <c r="S42" s="6">
        <v>2008020</v>
      </c>
      <c r="T42" s="5"/>
      <c r="U42" s="18" t="s">
        <v>230</v>
      </c>
      <c r="W42" s="2" t="s">
        <v>198</v>
      </c>
      <c r="AV42" s="2">
        <v>80</v>
      </c>
    </row>
    <row r="43" spans="1:48" x14ac:dyDescent="0.25">
      <c r="A43" s="12" t="s">
        <v>176</v>
      </c>
      <c r="B43" s="2">
        <v>3</v>
      </c>
      <c r="C43" s="6" t="s">
        <v>189</v>
      </c>
      <c r="D43" s="6">
        <v>1462926</v>
      </c>
      <c r="E43" s="5" t="s">
        <v>270</v>
      </c>
      <c r="F43" s="5" t="s">
        <v>271</v>
      </c>
      <c r="G43" s="2" t="s">
        <v>161</v>
      </c>
      <c r="I43" s="2">
        <f t="shared" si="4"/>
        <v>240</v>
      </c>
      <c r="J43" s="2">
        <v>250</v>
      </c>
      <c r="K43" s="2">
        <v>31258</v>
      </c>
      <c r="M43" s="2" t="s">
        <v>155</v>
      </c>
      <c r="N43" s="2" t="s">
        <v>159</v>
      </c>
      <c r="Q43" s="2">
        <f>J43-I43</f>
        <v>10</v>
      </c>
      <c r="S43" s="6">
        <v>1462926</v>
      </c>
      <c r="T43" s="5"/>
      <c r="U43" s="18" t="s">
        <v>288</v>
      </c>
      <c r="W43" s="2" t="s">
        <v>198</v>
      </c>
      <c r="AV43" s="2">
        <v>80</v>
      </c>
    </row>
    <row r="44" spans="1:48" x14ac:dyDescent="0.25">
      <c r="A44" s="5" t="s">
        <v>177</v>
      </c>
      <c r="B44" s="7">
        <v>3</v>
      </c>
      <c r="C44" s="6" t="s">
        <v>190</v>
      </c>
      <c r="D44" s="6">
        <v>1462950</v>
      </c>
      <c r="E44" s="5" t="s">
        <v>66</v>
      </c>
      <c r="F44" s="5" t="s">
        <v>268</v>
      </c>
      <c r="G44" s="2" t="s">
        <v>161</v>
      </c>
      <c r="I44" s="2">
        <f t="shared" si="4"/>
        <v>240</v>
      </c>
      <c r="J44" s="2">
        <v>250</v>
      </c>
      <c r="K44" s="2">
        <v>31258</v>
      </c>
      <c r="M44" s="2" t="s">
        <v>155</v>
      </c>
      <c r="N44" s="2" t="s">
        <v>159</v>
      </c>
      <c r="Q44" s="2">
        <f>J44-I44</f>
        <v>10</v>
      </c>
      <c r="S44" s="6">
        <v>1462950</v>
      </c>
      <c r="T44" s="5"/>
      <c r="U44" s="18" t="s">
        <v>231</v>
      </c>
      <c r="W44" s="2" t="s">
        <v>198</v>
      </c>
      <c r="AV44" s="2">
        <v>80</v>
      </c>
    </row>
    <row r="45" spans="1:48" x14ac:dyDescent="0.25">
      <c r="A45" s="12" t="s">
        <v>82</v>
      </c>
      <c r="B45" s="2">
        <v>1</v>
      </c>
      <c r="C45" s="6" t="s">
        <v>191</v>
      </c>
      <c r="E45" s="5" t="s">
        <v>76</v>
      </c>
      <c r="F45" s="5" t="s">
        <v>77</v>
      </c>
      <c r="G45" s="2" t="s">
        <v>154</v>
      </c>
      <c r="I45" s="2">
        <f t="shared" si="4"/>
        <v>80</v>
      </c>
      <c r="J45" s="2">
        <v>80</v>
      </c>
      <c r="K45" s="2">
        <v>31244</v>
      </c>
      <c r="M45" s="2" t="s">
        <v>155</v>
      </c>
      <c r="N45" s="2" t="s">
        <v>155</v>
      </c>
      <c r="O45" s="2" t="s">
        <v>155</v>
      </c>
      <c r="Q45" s="2">
        <f t="shared" si="3"/>
        <v>0</v>
      </c>
      <c r="S45" s="6" t="s">
        <v>233</v>
      </c>
      <c r="T45" s="5"/>
      <c r="U45" s="18" t="s">
        <v>232</v>
      </c>
      <c r="W45" s="2" t="s">
        <v>198</v>
      </c>
      <c r="AV45" s="2">
        <v>80</v>
      </c>
    </row>
    <row r="46" spans="1:48" x14ac:dyDescent="0.25">
      <c r="I46" s="2">
        <f t="shared" si="4"/>
        <v>0</v>
      </c>
      <c r="Q46" s="2">
        <f t="shared" si="3"/>
        <v>0</v>
      </c>
      <c r="W46" s="2" t="s">
        <v>198</v>
      </c>
      <c r="AV46" s="2">
        <v>80</v>
      </c>
    </row>
    <row r="47" spans="1:48" s="50" customFormat="1" x14ac:dyDescent="0.25">
      <c r="A47" s="46"/>
      <c r="B47" s="47"/>
      <c r="C47" s="48"/>
      <c r="D47" s="48"/>
      <c r="E47" s="49"/>
      <c r="F47" s="49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8"/>
      <c r="T47" s="47"/>
      <c r="U47" s="47"/>
      <c r="V47" s="47"/>
      <c r="W47" s="47" t="s">
        <v>198</v>
      </c>
      <c r="X47" s="48"/>
      <c r="AV47" s="47"/>
    </row>
    <row r="48" spans="1:48" x14ac:dyDescent="0.25">
      <c r="A48" s="12" t="s">
        <v>84</v>
      </c>
      <c r="B48" s="2">
        <v>1</v>
      </c>
      <c r="C48" s="6" t="s">
        <v>85</v>
      </c>
      <c r="D48" s="6" t="s">
        <v>85</v>
      </c>
      <c r="E48" s="5" t="s">
        <v>86</v>
      </c>
      <c r="F48" s="5" t="s">
        <v>87</v>
      </c>
      <c r="G48" s="2" t="s">
        <v>161</v>
      </c>
      <c r="I48" s="2">
        <f>B48*AV48</f>
        <v>80</v>
      </c>
      <c r="J48" s="2">
        <v>100</v>
      </c>
      <c r="K48" s="2">
        <v>31258</v>
      </c>
      <c r="M48" s="2" t="s">
        <v>155</v>
      </c>
      <c r="N48" s="2" t="s">
        <v>159</v>
      </c>
      <c r="Q48" s="2">
        <f t="shared" si="3"/>
        <v>20</v>
      </c>
      <c r="S48" s="6">
        <v>8648255</v>
      </c>
      <c r="T48" s="5"/>
      <c r="U48" s="18" t="s">
        <v>234</v>
      </c>
      <c r="W48" s="2" t="s">
        <v>198</v>
      </c>
      <c r="AV48" s="2">
        <v>80</v>
      </c>
    </row>
    <row r="49" spans="1:48" s="50" customFormat="1" x14ac:dyDescent="0.25">
      <c r="A49" s="46"/>
      <c r="B49" s="47"/>
      <c r="C49" s="48"/>
      <c r="D49" s="48"/>
      <c r="E49" s="49"/>
      <c r="F49" s="49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8"/>
      <c r="T49" s="47"/>
      <c r="U49" s="47"/>
      <c r="V49" s="47"/>
      <c r="W49" s="47" t="s">
        <v>198</v>
      </c>
      <c r="X49" s="48"/>
      <c r="AV49" s="47"/>
    </row>
    <row r="50" spans="1:48" x14ac:dyDescent="0.25">
      <c r="A50" s="12" t="s">
        <v>88</v>
      </c>
      <c r="B50" s="2">
        <v>2</v>
      </c>
      <c r="C50" s="6" t="s">
        <v>89</v>
      </c>
      <c r="D50" s="6" t="s">
        <v>90</v>
      </c>
      <c r="E50" s="5" t="s">
        <v>91</v>
      </c>
      <c r="F50" s="5" t="s">
        <v>92</v>
      </c>
      <c r="G50" s="2" t="s">
        <v>161</v>
      </c>
      <c r="I50" s="2">
        <f t="shared" ref="I50:I56" si="5">B50*AV50</f>
        <v>160</v>
      </c>
      <c r="J50" s="2">
        <v>200</v>
      </c>
      <c r="K50" s="2">
        <v>31258</v>
      </c>
      <c r="M50" s="2" t="s">
        <v>155</v>
      </c>
      <c r="N50" s="2" t="s">
        <v>159</v>
      </c>
      <c r="Q50" s="2">
        <f t="shared" si="3"/>
        <v>40</v>
      </c>
      <c r="S50" s="6">
        <v>1576464</v>
      </c>
      <c r="T50" s="5"/>
      <c r="U50" s="18" t="s">
        <v>236</v>
      </c>
      <c r="W50" s="2" t="s">
        <v>198</v>
      </c>
      <c r="AV50" s="2">
        <v>80</v>
      </c>
    </row>
    <row r="51" spans="1:48" x14ac:dyDescent="0.25">
      <c r="A51" s="12" t="s">
        <v>93</v>
      </c>
      <c r="B51" s="2">
        <v>7</v>
      </c>
      <c r="C51" s="6" t="s">
        <v>94</v>
      </c>
      <c r="D51" s="6" t="s">
        <v>90</v>
      </c>
      <c r="E51" s="5" t="s">
        <v>91</v>
      </c>
      <c r="F51" s="5" t="s">
        <v>92</v>
      </c>
      <c r="G51" s="2" t="s">
        <v>161</v>
      </c>
      <c r="I51" s="2">
        <f t="shared" si="5"/>
        <v>560</v>
      </c>
      <c r="J51" s="2">
        <v>590</v>
      </c>
      <c r="K51" s="2">
        <v>31258</v>
      </c>
      <c r="L51" s="2">
        <v>31340</v>
      </c>
      <c r="M51" s="2" t="s">
        <v>155</v>
      </c>
      <c r="N51" s="2" t="s">
        <v>192</v>
      </c>
      <c r="O51" s="2" t="s">
        <v>192</v>
      </c>
      <c r="Q51" s="2">
        <f t="shared" si="3"/>
        <v>30</v>
      </c>
      <c r="S51" s="6">
        <v>1576452</v>
      </c>
      <c r="T51" s="5"/>
      <c r="U51" s="18" t="s">
        <v>237</v>
      </c>
      <c r="W51" s="2" t="s">
        <v>198</v>
      </c>
      <c r="AV51" s="2">
        <v>80</v>
      </c>
    </row>
    <row r="52" spans="1:48" x14ac:dyDescent="0.25">
      <c r="A52" s="12" t="s">
        <v>95</v>
      </c>
      <c r="B52" s="2">
        <v>3</v>
      </c>
      <c r="C52" s="6" t="s">
        <v>96</v>
      </c>
      <c r="D52" s="6" t="s">
        <v>90</v>
      </c>
      <c r="E52" s="5" t="s">
        <v>91</v>
      </c>
      <c r="F52" s="5" t="s">
        <v>92</v>
      </c>
      <c r="G52" s="2" t="s">
        <v>161</v>
      </c>
      <c r="I52" s="2">
        <f t="shared" si="5"/>
        <v>240</v>
      </c>
      <c r="J52" s="2">
        <v>250</v>
      </c>
      <c r="K52" s="2">
        <v>31258</v>
      </c>
      <c r="M52" s="2" t="s">
        <v>155</v>
      </c>
      <c r="N52" s="2" t="s">
        <v>159</v>
      </c>
      <c r="Q52" s="2">
        <f t="shared" si="3"/>
        <v>10</v>
      </c>
      <c r="S52" s="6">
        <v>2861558</v>
      </c>
      <c r="T52" s="5"/>
      <c r="U52" s="18" t="s">
        <v>238</v>
      </c>
      <c r="W52" s="2" t="s">
        <v>198</v>
      </c>
      <c r="AV52" s="2">
        <v>80</v>
      </c>
    </row>
    <row r="53" spans="1:48" x14ac:dyDescent="0.25">
      <c r="A53" s="12" t="s">
        <v>97</v>
      </c>
      <c r="B53" s="2">
        <v>18</v>
      </c>
      <c r="C53" s="6" t="s">
        <v>98</v>
      </c>
      <c r="D53" s="6" t="s">
        <v>90</v>
      </c>
      <c r="E53" s="5" t="s">
        <v>91</v>
      </c>
      <c r="F53" s="5" t="s">
        <v>92</v>
      </c>
      <c r="G53" s="2" t="s">
        <v>161</v>
      </c>
      <c r="I53" s="2">
        <f t="shared" si="5"/>
        <v>1440</v>
      </c>
      <c r="J53" s="2">
        <v>1520</v>
      </c>
      <c r="K53" s="2">
        <v>31258</v>
      </c>
      <c r="M53" s="2" t="s">
        <v>155</v>
      </c>
      <c r="N53" s="2" t="s">
        <v>159</v>
      </c>
      <c r="Q53" s="2">
        <f t="shared" si="3"/>
        <v>80</v>
      </c>
      <c r="S53" s="6">
        <v>2332071</v>
      </c>
      <c r="T53" s="5"/>
      <c r="U53" s="18" t="s">
        <v>239</v>
      </c>
      <c r="W53" s="2" t="s">
        <v>198</v>
      </c>
      <c r="AV53" s="2">
        <v>80</v>
      </c>
    </row>
    <row r="54" spans="1:48" x14ac:dyDescent="0.25">
      <c r="A54" s="12" t="s">
        <v>99</v>
      </c>
      <c r="B54" s="2">
        <v>2</v>
      </c>
      <c r="C54" s="6" t="s">
        <v>100</v>
      </c>
      <c r="D54" s="6" t="s">
        <v>90</v>
      </c>
      <c r="E54" s="5" t="s">
        <v>91</v>
      </c>
      <c r="F54" s="5" t="s">
        <v>92</v>
      </c>
      <c r="G54" s="2" t="s">
        <v>161</v>
      </c>
      <c r="I54" s="2">
        <f t="shared" si="5"/>
        <v>160</v>
      </c>
      <c r="J54" s="2">
        <v>170</v>
      </c>
      <c r="K54" s="2">
        <v>31258</v>
      </c>
      <c r="M54" s="2" t="s">
        <v>155</v>
      </c>
      <c r="N54" s="2" t="s">
        <v>159</v>
      </c>
      <c r="Q54" s="2">
        <f t="shared" si="3"/>
        <v>10</v>
      </c>
      <c r="S54" s="6">
        <v>2670094</v>
      </c>
      <c r="T54" s="5"/>
      <c r="U54" s="18" t="s">
        <v>240</v>
      </c>
      <c r="W54" s="2" t="s">
        <v>198</v>
      </c>
      <c r="AV54" s="2">
        <v>80</v>
      </c>
    </row>
    <row r="55" spans="1:48" x14ac:dyDescent="0.25">
      <c r="A55" s="12" t="s">
        <v>101</v>
      </c>
      <c r="B55" s="2">
        <v>4</v>
      </c>
      <c r="C55" s="6" t="s">
        <v>102</v>
      </c>
      <c r="D55" s="6" t="s">
        <v>90</v>
      </c>
      <c r="E55" s="5" t="s">
        <v>91</v>
      </c>
      <c r="F55" s="5" t="s">
        <v>92</v>
      </c>
      <c r="G55" s="2" t="s">
        <v>161</v>
      </c>
      <c r="I55" s="2">
        <f t="shared" si="5"/>
        <v>320</v>
      </c>
      <c r="J55" s="2">
        <v>500</v>
      </c>
      <c r="K55" s="2">
        <v>31258</v>
      </c>
      <c r="M55" s="2" t="s">
        <v>155</v>
      </c>
      <c r="N55" s="2" t="s">
        <v>159</v>
      </c>
      <c r="Q55" s="2">
        <f t="shared" ref="Q55:Q74" si="6">J55-I55</f>
        <v>180</v>
      </c>
      <c r="S55" s="6" t="s">
        <v>235</v>
      </c>
      <c r="T55" s="5"/>
      <c r="U55" s="18" t="s">
        <v>241</v>
      </c>
      <c r="W55" s="2" t="s">
        <v>198</v>
      </c>
      <c r="AV55" s="2">
        <v>80</v>
      </c>
    </row>
    <row r="56" spans="1:48" x14ac:dyDescent="0.25">
      <c r="A56" s="12" t="s">
        <v>103</v>
      </c>
      <c r="B56" s="2">
        <v>3</v>
      </c>
      <c r="C56" s="6" t="s">
        <v>104</v>
      </c>
      <c r="D56" s="6" t="s">
        <v>90</v>
      </c>
      <c r="E56" s="5" t="s">
        <v>91</v>
      </c>
      <c r="F56" s="5" t="s">
        <v>92</v>
      </c>
      <c r="G56" s="2" t="s">
        <v>161</v>
      </c>
      <c r="I56" s="2">
        <f t="shared" si="5"/>
        <v>240</v>
      </c>
      <c r="J56" s="2">
        <v>260</v>
      </c>
      <c r="K56" s="2">
        <v>31258</v>
      </c>
      <c r="M56" s="2" t="s">
        <v>155</v>
      </c>
      <c r="N56" s="2" t="s">
        <v>159</v>
      </c>
      <c r="Q56" s="2">
        <f t="shared" si="6"/>
        <v>20</v>
      </c>
      <c r="S56" s="6">
        <v>2447627</v>
      </c>
      <c r="T56" s="5"/>
      <c r="U56" s="18" t="s">
        <v>242</v>
      </c>
      <c r="W56" s="2" t="s">
        <v>198</v>
      </c>
      <c r="AV56" s="2">
        <v>80</v>
      </c>
    </row>
    <row r="57" spans="1:48" s="50" customFormat="1" x14ac:dyDescent="0.25">
      <c r="A57" s="46"/>
      <c r="B57" s="47"/>
      <c r="C57" s="48"/>
      <c r="D57" s="48"/>
      <c r="E57" s="49"/>
      <c r="F57" s="49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8"/>
      <c r="T57" s="47"/>
      <c r="U57" s="47"/>
      <c r="V57" s="47"/>
      <c r="W57" s="47" t="s">
        <v>198</v>
      </c>
      <c r="X57" s="48"/>
      <c r="AV57" s="47"/>
    </row>
    <row r="58" spans="1:48" x14ac:dyDescent="0.25">
      <c r="A58" s="12" t="s">
        <v>105</v>
      </c>
      <c r="B58" s="2">
        <v>1</v>
      </c>
      <c r="C58" s="6" t="s">
        <v>106</v>
      </c>
      <c r="D58" s="6" t="s">
        <v>107</v>
      </c>
      <c r="E58" s="5" t="s">
        <v>108</v>
      </c>
      <c r="F58" s="5" t="s">
        <v>109</v>
      </c>
      <c r="G58" s="2" t="s">
        <v>161</v>
      </c>
      <c r="I58" s="2">
        <f>B58*AV58</f>
        <v>80</v>
      </c>
      <c r="J58" s="2">
        <v>90</v>
      </c>
      <c r="K58" s="2">
        <v>31258</v>
      </c>
      <c r="M58" s="2" t="s">
        <v>155</v>
      </c>
      <c r="N58" s="2" t="s">
        <v>159</v>
      </c>
      <c r="O58" s="4">
        <v>44819</v>
      </c>
      <c r="Q58" s="2">
        <f t="shared" si="6"/>
        <v>10</v>
      </c>
      <c r="S58" s="6">
        <v>3778050</v>
      </c>
      <c r="T58" s="5"/>
      <c r="U58" s="18" t="s">
        <v>244</v>
      </c>
      <c r="W58" s="2" t="s">
        <v>198</v>
      </c>
      <c r="AV58" s="2">
        <v>80</v>
      </c>
    </row>
    <row r="59" spans="1:48" x14ac:dyDescent="0.25">
      <c r="A59" s="12" t="s">
        <v>182</v>
      </c>
      <c r="B59" s="2">
        <v>2</v>
      </c>
      <c r="C59" s="6" t="s">
        <v>110</v>
      </c>
      <c r="D59" s="6" t="s">
        <v>111</v>
      </c>
      <c r="F59" s="5" t="s">
        <v>112</v>
      </c>
      <c r="G59" s="2" t="s">
        <v>161</v>
      </c>
      <c r="I59" s="2">
        <f>B59*AV59</f>
        <v>160</v>
      </c>
      <c r="J59" s="2">
        <v>170</v>
      </c>
      <c r="K59" s="2">
        <v>31258</v>
      </c>
      <c r="M59" s="2" t="s">
        <v>155</v>
      </c>
      <c r="N59" s="2" t="s">
        <v>159</v>
      </c>
      <c r="Q59" s="2">
        <f t="shared" si="6"/>
        <v>10</v>
      </c>
      <c r="S59" s="6" t="s">
        <v>243</v>
      </c>
      <c r="T59" s="5"/>
      <c r="U59" s="18" t="s">
        <v>245</v>
      </c>
      <c r="W59" s="2" t="s">
        <v>198</v>
      </c>
      <c r="AV59" s="2">
        <v>80</v>
      </c>
    </row>
    <row r="60" spans="1:48" x14ac:dyDescent="0.25">
      <c r="I60" s="2">
        <f>B60*AV60</f>
        <v>0</v>
      </c>
      <c r="Q60" s="2">
        <f t="shared" si="6"/>
        <v>0</v>
      </c>
      <c r="AV60" s="2">
        <v>80</v>
      </c>
    </row>
    <row r="61" spans="1:48" s="50" customFormat="1" x14ac:dyDescent="0.25">
      <c r="A61" s="46"/>
      <c r="B61" s="47"/>
      <c r="C61" s="48"/>
      <c r="D61" s="48"/>
      <c r="E61" s="49"/>
      <c r="F61" s="49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8"/>
      <c r="T61" s="47"/>
      <c r="U61" s="47"/>
      <c r="V61" s="47"/>
      <c r="W61" s="47"/>
      <c r="X61" s="48"/>
      <c r="AV61" s="47"/>
    </row>
    <row r="62" spans="1:48" ht="15.75" thickBot="1" x14ac:dyDescent="0.3">
      <c r="A62" s="12" t="s">
        <v>113</v>
      </c>
      <c r="B62" s="2">
        <v>1</v>
      </c>
      <c r="C62" s="6" t="s">
        <v>114</v>
      </c>
      <c r="D62" s="6" t="s">
        <v>114</v>
      </c>
      <c r="E62" s="5" t="s">
        <v>115</v>
      </c>
      <c r="F62" s="5" t="s">
        <v>116</v>
      </c>
      <c r="G62" s="2" t="s">
        <v>161</v>
      </c>
      <c r="I62" s="2">
        <f t="shared" ref="I62:I71" si="7">B62*AV62</f>
        <v>80</v>
      </c>
      <c r="J62" s="2">
        <v>100</v>
      </c>
      <c r="K62" s="2">
        <v>31258</v>
      </c>
      <c r="M62" s="2" t="s">
        <v>155</v>
      </c>
      <c r="N62" s="2" t="s">
        <v>159</v>
      </c>
      <c r="Q62" s="2">
        <f t="shared" si="6"/>
        <v>20</v>
      </c>
      <c r="S62" s="6" t="s">
        <v>246</v>
      </c>
      <c r="T62" s="5"/>
      <c r="U62" s="18" t="s">
        <v>247</v>
      </c>
      <c r="W62" s="2" t="s">
        <v>198</v>
      </c>
      <c r="AV62" s="2">
        <v>80</v>
      </c>
    </row>
    <row r="63" spans="1:48" s="22" customFormat="1" ht="16.5" thickTop="1" thickBot="1" x14ac:dyDescent="0.3">
      <c r="A63" s="39" t="s">
        <v>117</v>
      </c>
      <c r="B63" s="40">
        <v>2</v>
      </c>
      <c r="C63" s="41" t="s">
        <v>118</v>
      </c>
      <c r="D63" s="41" t="s">
        <v>118</v>
      </c>
      <c r="E63" s="42" t="s">
        <v>119</v>
      </c>
      <c r="F63" s="42" t="s">
        <v>120</v>
      </c>
      <c r="G63" s="40"/>
      <c r="H63" s="40"/>
      <c r="I63" s="40">
        <f t="shared" si="7"/>
        <v>160</v>
      </c>
      <c r="J63" s="20">
        <v>0</v>
      </c>
      <c r="K63" s="20" t="s">
        <v>183</v>
      </c>
      <c r="L63" s="20"/>
      <c r="M63" s="20" t="s">
        <v>159</v>
      </c>
      <c r="N63" s="20" t="s">
        <v>159</v>
      </c>
      <c r="O63" s="20" t="s">
        <v>194</v>
      </c>
      <c r="P63" s="20"/>
      <c r="Q63" s="43"/>
      <c r="R63" s="44"/>
      <c r="S63" s="45"/>
      <c r="W63" s="22" t="s">
        <v>198</v>
      </c>
      <c r="X63" s="54"/>
      <c r="AV63" s="20">
        <v>80</v>
      </c>
    </row>
    <row r="64" spans="1:48" ht="15.75" thickTop="1" x14ac:dyDescent="0.25">
      <c r="A64" s="12" t="s">
        <v>121</v>
      </c>
      <c r="B64" s="2">
        <v>2</v>
      </c>
      <c r="C64" s="6">
        <v>4094</v>
      </c>
      <c r="D64" s="6">
        <v>4094</v>
      </c>
      <c r="E64" s="5" t="s">
        <v>122</v>
      </c>
      <c r="F64" s="5" t="s">
        <v>123</v>
      </c>
      <c r="G64" s="2" t="s">
        <v>161</v>
      </c>
      <c r="I64" s="2">
        <f t="shared" si="7"/>
        <v>160</v>
      </c>
      <c r="J64" s="2">
        <v>170</v>
      </c>
      <c r="K64" s="2">
        <v>31258</v>
      </c>
      <c r="M64" s="2" t="s">
        <v>155</v>
      </c>
      <c r="N64" s="2" t="s">
        <v>159</v>
      </c>
      <c r="O64" s="4">
        <v>44955</v>
      </c>
      <c r="Q64" s="2">
        <f t="shared" si="6"/>
        <v>10</v>
      </c>
      <c r="S64" s="6">
        <v>1201297</v>
      </c>
      <c r="T64" s="5"/>
      <c r="U64" s="18" t="s">
        <v>248</v>
      </c>
      <c r="V64" s="35"/>
      <c r="W64" s="7" t="s">
        <v>198</v>
      </c>
      <c r="X64" s="55" t="s">
        <v>274</v>
      </c>
      <c r="AV64" s="2">
        <v>80</v>
      </c>
    </row>
    <row r="65" spans="1:48" x14ac:dyDescent="0.25">
      <c r="A65" s="12" t="s">
        <v>124</v>
      </c>
      <c r="B65" s="2">
        <v>1</v>
      </c>
      <c r="C65" s="6">
        <v>4069</v>
      </c>
      <c r="D65" s="6">
        <v>4069</v>
      </c>
      <c r="E65" s="5" t="s">
        <v>125</v>
      </c>
      <c r="F65" s="5" t="s">
        <v>126</v>
      </c>
      <c r="G65" s="2" t="s">
        <v>161</v>
      </c>
      <c r="I65" s="2">
        <f t="shared" si="7"/>
        <v>80</v>
      </c>
      <c r="J65" s="2">
        <v>100</v>
      </c>
      <c r="K65" s="2">
        <v>31258</v>
      </c>
      <c r="M65" s="2" t="s">
        <v>155</v>
      </c>
      <c r="N65" s="2" t="s">
        <v>159</v>
      </c>
      <c r="Q65" s="2">
        <f t="shared" si="6"/>
        <v>20</v>
      </c>
      <c r="S65" s="6">
        <v>1201295</v>
      </c>
      <c r="T65" s="5"/>
      <c r="U65" s="18" t="s">
        <v>249</v>
      </c>
      <c r="W65" s="2" t="s">
        <v>198</v>
      </c>
      <c r="AV65" s="2">
        <v>80</v>
      </c>
    </row>
    <row r="66" spans="1:48" x14ac:dyDescent="0.25">
      <c r="A66" s="12" t="s">
        <v>127</v>
      </c>
      <c r="B66" s="2">
        <v>4</v>
      </c>
      <c r="C66" s="6">
        <v>4081</v>
      </c>
      <c r="D66" s="6">
        <v>4081</v>
      </c>
      <c r="E66" s="5" t="s">
        <v>125</v>
      </c>
      <c r="F66" s="5" t="s">
        <v>128</v>
      </c>
      <c r="G66" s="2" t="s">
        <v>161</v>
      </c>
      <c r="I66" s="2">
        <f t="shared" si="7"/>
        <v>320</v>
      </c>
      <c r="J66" s="2">
        <v>340</v>
      </c>
      <c r="K66" s="2">
        <v>31258</v>
      </c>
      <c r="M66" s="2" t="s">
        <v>155</v>
      </c>
      <c r="N66" s="2" t="s">
        <v>159</v>
      </c>
      <c r="Q66" s="2">
        <f t="shared" si="6"/>
        <v>20</v>
      </c>
      <c r="S66" s="6">
        <v>1085290</v>
      </c>
      <c r="T66" s="5"/>
      <c r="U66" s="18" t="s">
        <v>250</v>
      </c>
      <c r="W66" s="2" t="s">
        <v>198</v>
      </c>
      <c r="AV66" s="2">
        <v>80</v>
      </c>
    </row>
    <row r="67" spans="1:48" x14ac:dyDescent="0.25">
      <c r="A67" s="12" t="s">
        <v>129</v>
      </c>
      <c r="B67" s="2">
        <v>2</v>
      </c>
      <c r="C67" s="6" t="s">
        <v>130</v>
      </c>
      <c r="D67" s="6" t="s">
        <v>130</v>
      </c>
      <c r="E67" s="5" t="s">
        <v>125</v>
      </c>
      <c r="F67" s="5" t="s">
        <v>131</v>
      </c>
      <c r="G67" s="2" t="s">
        <v>161</v>
      </c>
      <c r="I67" s="2">
        <f t="shared" si="7"/>
        <v>160</v>
      </c>
      <c r="J67" s="2">
        <v>170</v>
      </c>
      <c r="K67" s="2">
        <v>31258</v>
      </c>
      <c r="M67" s="2" t="s">
        <v>155</v>
      </c>
      <c r="N67" s="2" t="s">
        <v>159</v>
      </c>
      <c r="Q67" s="2">
        <f t="shared" si="6"/>
        <v>10</v>
      </c>
      <c r="S67" s="6">
        <v>1085331</v>
      </c>
      <c r="T67" s="5"/>
      <c r="U67" s="18" t="s">
        <v>251</v>
      </c>
      <c r="W67" s="2" t="s">
        <v>198</v>
      </c>
      <c r="AV67" s="2">
        <v>80</v>
      </c>
    </row>
    <row r="68" spans="1:48" x14ac:dyDescent="0.25">
      <c r="A68" s="12" t="s">
        <v>132</v>
      </c>
      <c r="B68" s="2">
        <v>3</v>
      </c>
      <c r="C68" s="6" t="s">
        <v>133</v>
      </c>
      <c r="D68" s="6" t="s">
        <v>133</v>
      </c>
      <c r="E68" s="5" t="s">
        <v>134</v>
      </c>
      <c r="F68" s="5" t="s">
        <v>135</v>
      </c>
      <c r="G68" s="2" t="s">
        <v>161</v>
      </c>
      <c r="I68" s="2">
        <f t="shared" si="7"/>
        <v>240</v>
      </c>
      <c r="J68" s="2">
        <v>252</v>
      </c>
      <c r="K68" s="2">
        <v>31258</v>
      </c>
      <c r="M68" s="2" t="s">
        <v>155</v>
      </c>
      <c r="N68" s="2" t="s">
        <v>159</v>
      </c>
      <c r="Q68" s="2">
        <f t="shared" si="6"/>
        <v>12</v>
      </c>
      <c r="S68" s="6">
        <v>2774608</v>
      </c>
      <c r="U68" s="18" t="s">
        <v>252</v>
      </c>
      <c r="W68" s="2" t="s">
        <v>198</v>
      </c>
      <c r="AV68" s="2">
        <v>80</v>
      </c>
    </row>
    <row r="69" spans="1:48" x14ac:dyDescent="0.25">
      <c r="A69" s="12" t="s">
        <v>275</v>
      </c>
      <c r="B69" s="2">
        <v>2</v>
      </c>
      <c r="C69" s="6" t="s">
        <v>136</v>
      </c>
      <c r="D69" s="6" t="s">
        <v>136</v>
      </c>
      <c r="E69" s="5" t="s">
        <v>137</v>
      </c>
      <c r="F69" s="5" t="s">
        <v>138</v>
      </c>
      <c r="G69" s="2" t="s">
        <v>154</v>
      </c>
      <c r="I69" s="2">
        <f t="shared" si="7"/>
        <v>160</v>
      </c>
      <c r="J69" s="2">
        <v>84</v>
      </c>
      <c r="K69" s="2">
        <v>31361</v>
      </c>
      <c r="M69" s="2" t="s">
        <v>155</v>
      </c>
      <c r="N69" s="2" t="s">
        <v>159</v>
      </c>
      <c r="Q69" s="2">
        <f t="shared" si="6"/>
        <v>-76</v>
      </c>
      <c r="S69" s="6" t="s">
        <v>259</v>
      </c>
      <c r="U69" s="6" t="s">
        <v>260</v>
      </c>
      <c r="W69" s="2" t="s">
        <v>198</v>
      </c>
      <c r="AV69" s="2">
        <v>80</v>
      </c>
    </row>
    <row r="70" spans="1:48" s="22" customFormat="1" x14ac:dyDescent="0.25">
      <c r="A70" s="19" t="s">
        <v>139</v>
      </c>
      <c r="B70" s="20">
        <v>1</v>
      </c>
      <c r="C70" s="31" t="s">
        <v>140</v>
      </c>
      <c r="D70" s="31" t="s">
        <v>140</v>
      </c>
      <c r="E70" s="38" t="s">
        <v>141</v>
      </c>
      <c r="F70" s="21" t="s">
        <v>142</v>
      </c>
      <c r="G70" s="20"/>
      <c r="H70" s="20"/>
      <c r="I70" s="20">
        <f t="shared" si="7"/>
        <v>80</v>
      </c>
      <c r="J70" s="20">
        <v>0</v>
      </c>
      <c r="K70" s="20"/>
      <c r="L70" s="20"/>
      <c r="M70" s="20" t="s">
        <v>159</v>
      </c>
      <c r="N70" s="20" t="s">
        <v>159</v>
      </c>
      <c r="O70" s="20" t="s">
        <v>193</v>
      </c>
      <c r="P70" s="20"/>
      <c r="Q70" s="20"/>
      <c r="R70" s="20"/>
      <c r="S70" s="31"/>
      <c r="T70" s="20"/>
      <c r="U70" s="20"/>
      <c r="V70" s="20"/>
      <c r="W70" s="20" t="s">
        <v>198</v>
      </c>
      <c r="X70" s="31"/>
      <c r="AV70" s="20">
        <v>80</v>
      </c>
    </row>
    <row r="71" spans="1:48" x14ac:dyDescent="0.25">
      <c r="A71" s="12" t="s">
        <v>143</v>
      </c>
      <c r="B71" s="2">
        <v>3</v>
      </c>
      <c r="C71" s="6" t="s">
        <v>144</v>
      </c>
      <c r="D71" s="6" t="s">
        <v>144</v>
      </c>
      <c r="E71" s="6" t="s">
        <v>272</v>
      </c>
      <c r="F71" s="5" t="s">
        <v>145</v>
      </c>
      <c r="G71" s="2" t="s">
        <v>154</v>
      </c>
      <c r="I71" s="2">
        <f t="shared" si="7"/>
        <v>240</v>
      </c>
      <c r="J71" s="2">
        <v>250</v>
      </c>
      <c r="K71" s="2">
        <v>31244</v>
      </c>
      <c r="M71" s="2" t="s">
        <v>155</v>
      </c>
      <c r="N71" s="2" t="s">
        <v>155</v>
      </c>
      <c r="O71" s="2" t="s">
        <v>155</v>
      </c>
      <c r="Q71" s="2">
        <f t="shared" si="6"/>
        <v>10</v>
      </c>
      <c r="S71" s="6" t="s">
        <v>253</v>
      </c>
      <c r="T71" s="5"/>
      <c r="U71" s="18" t="s">
        <v>254</v>
      </c>
      <c r="W71" s="2" t="s">
        <v>198</v>
      </c>
      <c r="AV71" s="2">
        <v>80</v>
      </c>
    </row>
    <row r="72" spans="1:48" s="50" customFormat="1" x14ac:dyDescent="0.25">
      <c r="A72" s="46"/>
      <c r="B72" s="47"/>
      <c r="C72" s="48"/>
      <c r="D72" s="48"/>
      <c r="E72" s="49"/>
      <c r="F72" s="49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8"/>
      <c r="T72" s="47"/>
      <c r="U72" s="47"/>
      <c r="V72" s="47"/>
      <c r="W72" s="47" t="s">
        <v>198</v>
      </c>
      <c r="X72" s="48"/>
      <c r="AV72" s="47"/>
    </row>
    <row r="73" spans="1:48" x14ac:dyDescent="0.25">
      <c r="A73" s="12" t="s">
        <v>146</v>
      </c>
      <c r="B73" s="2">
        <v>2</v>
      </c>
      <c r="C73" s="6" t="s">
        <v>147</v>
      </c>
      <c r="D73" s="6" t="s">
        <v>148</v>
      </c>
      <c r="E73" s="5" t="s">
        <v>149</v>
      </c>
      <c r="F73" s="5" t="s">
        <v>150</v>
      </c>
      <c r="G73" s="2" t="s">
        <v>161</v>
      </c>
      <c r="I73" s="2">
        <f t="shared" ref="I73:I84" si="8">B73*AV73</f>
        <v>160</v>
      </c>
      <c r="J73" s="2">
        <v>170</v>
      </c>
      <c r="K73" s="2">
        <v>31258</v>
      </c>
      <c r="M73" s="2" t="s">
        <v>155</v>
      </c>
      <c r="N73" s="2" t="s">
        <v>159</v>
      </c>
      <c r="Q73" s="2">
        <f t="shared" si="6"/>
        <v>10</v>
      </c>
      <c r="S73" s="6">
        <v>2467903</v>
      </c>
      <c r="U73" s="56" t="s">
        <v>262</v>
      </c>
      <c r="W73" s="2" t="s">
        <v>198</v>
      </c>
      <c r="AV73" s="2">
        <v>80</v>
      </c>
    </row>
    <row r="74" spans="1:48" x14ac:dyDescent="0.25">
      <c r="I74" s="2">
        <f t="shared" si="8"/>
        <v>0</v>
      </c>
      <c r="Q74" s="2">
        <f t="shared" si="6"/>
        <v>0</v>
      </c>
      <c r="W74" s="2" t="s">
        <v>198</v>
      </c>
      <c r="AV74" s="2">
        <v>80</v>
      </c>
    </row>
    <row r="75" spans="1:48" s="50" customFormat="1" x14ac:dyDescent="0.25">
      <c r="A75" s="46"/>
      <c r="B75" s="47"/>
      <c r="C75" s="48"/>
      <c r="D75" s="48"/>
      <c r="E75" s="49"/>
      <c r="F75" s="49"/>
      <c r="G75" s="47"/>
      <c r="H75" s="47"/>
      <c r="I75" s="47">
        <f t="shared" si="8"/>
        <v>0</v>
      </c>
      <c r="J75" s="47"/>
      <c r="K75" s="47"/>
      <c r="L75" s="47"/>
      <c r="M75" s="47"/>
      <c r="N75" s="47"/>
      <c r="O75" s="47"/>
      <c r="P75" s="47"/>
      <c r="Q75" s="47"/>
      <c r="R75" s="47"/>
      <c r="S75" s="48"/>
      <c r="T75" s="47"/>
      <c r="U75" s="47"/>
      <c r="V75" s="47"/>
      <c r="W75" s="47"/>
      <c r="X75" s="48"/>
      <c r="AV75" s="47">
        <v>80</v>
      </c>
    </row>
    <row r="76" spans="1:48" x14ac:dyDescent="0.25">
      <c r="I76" s="2">
        <f t="shared" si="8"/>
        <v>0</v>
      </c>
      <c r="AV76" s="2">
        <v>80</v>
      </c>
    </row>
    <row r="77" spans="1:48" x14ac:dyDescent="0.25">
      <c r="E77" s="5" t="s">
        <v>279</v>
      </c>
      <c r="I77" s="2">
        <f t="shared" si="8"/>
        <v>0</v>
      </c>
      <c r="AV77" s="2">
        <v>80</v>
      </c>
    </row>
    <row r="78" spans="1:48" x14ac:dyDescent="0.25">
      <c r="I78" s="2">
        <f t="shared" si="8"/>
        <v>0</v>
      </c>
      <c r="AV78" s="2">
        <v>80</v>
      </c>
    </row>
    <row r="79" spans="1:48" x14ac:dyDescent="0.25">
      <c r="E79" s="5" t="s">
        <v>280</v>
      </c>
      <c r="I79" s="2">
        <f t="shared" si="8"/>
        <v>0</v>
      </c>
      <c r="AV79" s="2">
        <v>80</v>
      </c>
    </row>
    <row r="80" spans="1:48" x14ac:dyDescent="0.25">
      <c r="E80" s="5" t="s">
        <v>281</v>
      </c>
      <c r="I80" s="2">
        <f t="shared" si="8"/>
        <v>0</v>
      </c>
      <c r="AV80" s="2">
        <v>80</v>
      </c>
    </row>
    <row r="81" spans="5:48" x14ac:dyDescent="0.25">
      <c r="E81" s="5" t="s">
        <v>282</v>
      </c>
      <c r="I81" s="2">
        <f t="shared" si="8"/>
        <v>0</v>
      </c>
      <c r="AV81" s="2">
        <v>80</v>
      </c>
    </row>
    <row r="82" spans="5:48" x14ac:dyDescent="0.25">
      <c r="E82" s="5" t="s">
        <v>283</v>
      </c>
      <c r="I82" s="2">
        <f t="shared" si="8"/>
        <v>0</v>
      </c>
    </row>
    <row r="83" spans="5:48" x14ac:dyDescent="0.25">
      <c r="I83" s="2">
        <f t="shared" si="8"/>
        <v>0</v>
      </c>
    </row>
    <row r="84" spans="5:48" x14ac:dyDescent="0.25">
      <c r="I84" s="2">
        <f t="shared" si="8"/>
        <v>0</v>
      </c>
    </row>
    <row r="85" spans="5:48" x14ac:dyDescent="0.25">
      <c r="E85" s="5" t="s">
        <v>284</v>
      </c>
    </row>
  </sheetData>
  <conditionalFormatting sqref="O16 O18:O20 O26 M17:O17 M1:O15 M46:O47 M21:O25 O39:O44 M49:O49 O48 M57:O57 O52:O56 M60:O61 O58:O59 M63:O63 O62 M74:O1048576 O64:O70 O72:O73 M51:O51 O50 M27:O30 M32:O37">
    <cfRule type="cellIs" dxfId="228" priority="233" operator="equal">
      <formula>"n"</formula>
    </cfRule>
    <cfRule type="cellIs" dxfId="227" priority="235" operator="equal">
      <formula>"y"</formula>
    </cfRule>
  </conditionalFormatting>
  <conditionalFormatting sqref="I1:I30 I32:I1048576">
    <cfRule type="cellIs" dxfId="226" priority="234" operator="equal">
      <formula>0</formula>
    </cfRule>
  </conditionalFormatting>
  <conditionalFormatting sqref="K27:K30 K17 K1:K15 K35:K36 K46:K47 K21:K25 K49 K57 K60:K61 K63 K74:K1048576">
    <cfRule type="cellIs" dxfId="225" priority="226" operator="equal">
      <formula>$K$10</formula>
    </cfRule>
    <cfRule type="cellIs" dxfId="224" priority="227" operator="equal">
      <formula>$K$9</formula>
    </cfRule>
    <cfRule type="cellIs" dxfId="223" priority="228" operator="equal">
      <formula>$K$5</formula>
    </cfRule>
    <cfRule type="cellIs" dxfId="222" priority="229" operator="equal">
      <formula>$K$3</formula>
    </cfRule>
  </conditionalFormatting>
  <conditionalFormatting sqref="M16:N16">
    <cfRule type="cellIs" dxfId="221" priority="224" operator="equal">
      <formula>"n"</formula>
    </cfRule>
    <cfRule type="cellIs" dxfId="220" priority="225" operator="equal">
      <formula>"y"</formula>
    </cfRule>
  </conditionalFormatting>
  <conditionalFormatting sqref="K16">
    <cfRule type="cellIs" dxfId="219" priority="220" operator="equal">
      <formula>$K$10</formula>
    </cfRule>
    <cfRule type="cellIs" dxfId="218" priority="221" operator="equal">
      <formula>$K$9</formula>
    </cfRule>
    <cfRule type="cellIs" dxfId="217" priority="222" operator="equal">
      <formula>$K$5</formula>
    </cfRule>
    <cfRule type="cellIs" dxfId="216" priority="223" operator="equal">
      <formula>$K$3</formula>
    </cfRule>
  </conditionalFormatting>
  <conditionalFormatting sqref="M18:N18">
    <cfRule type="cellIs" dxfId="215" priority="218" operator="equal">
      <formula>"n"</formula>
    </cfRule>
    <cfRule type="cellIs" dxfId="214" priority="219" operator="equal">
      <formula>"y"</formula>
    </cfRule>
  </conditionalFormatting>
  <conditionalFormatting sqref="K18">
    <cfRule type="cellIs" dxfId="213" priority="214" operator="equal">
      <formula>$K$10</formula>
    </cfRule>
    <cfRule type="cellIs" dxfId="212" priority="215" operator="equal">
      <formula>$K$9</formula>
    </cfRule>
    <cfRule type="cellIs" dxfId="211" priority="216" operator="equal">
      <formula>$K$5</formula>
    </cfRule>
    <cfRule type="cellIs" dxfId="210" priority="217" operator="equal">
      <formula>$K$3</formula>
    </cfRule>
  </conditionalFormatting>
  <conditionalFormatting sqref="M19:N19">
    <cfRule type="cellIs" dxfId="209" priority="212" operator="equal">
      <formula>"n"</formula>
    </cfRule>
    <cfRule type="cellIs" dxfId="208" priority="213" operator="equal">
      <formula>"y"</formula>
    </cfRule>
  </conditionalFormatting>
  <conditionalFormatting sqref="K19">
    <cfRule type="cellIs" dxfId="207" priority="208" operator="equal">
      <formula>$K$10</formula>
    </cfRule>
    <cfRule type="cellIs" dxfId="206" priority="209" operator="equal">
      <formula>$K$9</formula>
    </cfRule>
    <cfRule type="cellIs" dxfId="205" priority="210" operator="equal">
      <formula>$K$5</formula>
    </cfRule>
    <cfRule type="cellIs" dxfId="204" priority="211" operator="equal">
      <formula>$K$3</formula>
    </cfRule>
  </conditionalFormatting>
  <conditionalFormatting sqref="M20:N20">
    <cfRule type="cellIs" dxfId="203" priority="206" operator="equal">
      <formula>"n"</formula>
    </cfRule>
    <cfRule type="cellIs" dxfId="202" priority="207" operator="equal">
      <formula>"y"</formula>
    </cfRule>
  </conditionalFormatting>
  <conditionalFormatting sqref="K20">
    <cfRule type="cellIs" dxfId="201" priority="202" operator="equal">
      <formula>$K$10</formula>
    </cfRule>
    <cfRule type="cellIs" dxfId="200" priority="203" operator="equal">
      <formula>$K$9</formula>
    </cfRule>
    <cfRule type="cellIs" dxfId="199" priority="204" operator="equal">
      <formula>$K$5</formula>
    </cfRule>
    <cfRule type="cellIs" dxfId="198" priority="205" operator="equal">
      <formula>$K$3</formula>
    </cfRule>
  </conditionalFormatting>
  <conditionalFormatting sqref="M26:N26">
    <cfRule type="cellIs" dxfId="197" priority="200" operator="equal">
      <formula>"n"</formula>
    </cfRule>
    <cfRule type="cellIs" dxfId="196" priority="201" operator="equal">
      <formula>"y"</formula>
    </cfRule>
  </conditionalFormatting>
  <conditionalFormatting sqref="K26">
    <cfRule type="cellIs" dxfId="195" priority="196" operator="equal">
      <formula>$K$10</formula>
    </cfRule>
    <cfRule type="cellIs" dxfId="194" priority="197" operator="equal">
      <formula>$K$9</formula>
    </cfRule>
    <cfRule type="cellIs" dxfId="193" priority="198" operator="equal">
      <formula>$K$5</formula>
    </cfRule>
    <cfRule type="cellIs" dxfId="192" priority="199" operator="equal">
      <formula>$K$3</formula>
    </cfRule>
  </conditionalFormatting>
  <conditionalFormatting sqref="K37">
    <cfRule type="cellIs" dxfId="191" priority="192" operator="equal">
      <formula>$K$10</formula>
    </cfRule>
    <cfRule type="cellIs" dxfId="190" priority="193" operator="equal">
      <formula>$K$9</formula>
    </cfRule>
    <cfRule type="cellIs" dxfId="189" priority="194" operator="equal">
      <formula>$K$5</formula>
    </cfRule>
    <cfRule type="cellIs" dxfId="188" priority="195" operator="equal">
      <formula>$K$3</formula>
    </cfRule>
  </conditionalFormatting>
  <conditionalFormatting sqref="K32">
    <cfRule type="cellIs" dxfId="187" priority="188" operator="equal">
      <formula>$K$10</formula>
    </cfRule>
    <cfRule type="cellIs" dxfId="186" priority="189" operator="equal">
      <formula>$K$9</formula>
    </cfRule>
    <cfRule type="cellIs" dxfId="185" priority="190" operator="equal">
      <formula>$K$5</formula>
    </cfRule>
    <cfRule type="cellIs" dxfId="184" priority="191" operator="equal">
      <formula>$K$3</formula>
    </cfRule>
  </conditionalFormatting>
  <conditionalFormatting sqref="K33">
    <cfRule type="cellIs" dxfId="183" priority="184" operator="equal">
      <formula>$K$10</formula>
    </cfRule>
    <cfRule type="cellIs" dxfId="182" priority="185" operator="equal">
      <formula>$K$9</formula>
    </cfRule>
    <cfRule type="cellIs" dxfId="181" priority="186" operator="equal">
      <formula>$K$5</formula>
    </cfRule>
    <cfRule type="cellIs" dxfId="180" priority="187" operator="equal">
      <formula>$K$3</formula>
    </cfRule>
  </conditionalFormatting>
  <conditionalFormatting sqref="K34">
    <cfRule type="cellIs" dxfId="179" priority="180" operator="equal">
      <formula>$K$10</formula>
    </cfRule>
    <cfRule type="cellIs" dxfId="178" priority="181" operator="equal">
      <formula>$K$9</formula>
    </cfRule>
    <cfRule type="cellIs" dxfId="177" priority="182" operator="equal">
      <formula>$K$5</formula>
    </cfRule>
    <cfRule type="cellIs" dxfId="176" priority="183" operator="equal">
      <formula>$K$3</formula>
    </cfRule>
  </conditionalFormatting>
  <conditionalFormatting sqref="M38:O38">
    <cfRule type="cellIs" dxfId="175" priority="178" operator="equal">
      <formula>"n"</formula>
    </cfRule>
    <cfRule type="cellIs" dxfId="174" priority="179" operator="equal">
      <formula>"y"</formula>
    </cfRule>
  </conditionalFormatting>
  <conditionalFormatting sqref="K38">
    <cfRule type="cellIs" dxfId="173" priority="174" operator="equal">
      <formula>$K$10</formula>
    </cfRule>
    <cfRule type="cellIs" dxfId="172" priority="175" operator="equal">
      <formula>$K$9</formula>
    </cfRule>
    <cfRule type="cellIs" dxfId="171" priority="176" operator="equal">
      <formula>$K$5</formula>
    </cfRule>
    <cfRule type="cellIs" dxfId="170" priority="177" operator="equal">
      <formula>$K$3</formula>
    </cfRule>
  </conditionalFormatting>
  <conditionalFormatting sqref="M39:N42">
    <cfRule type="cellIs" dxfId="169" priority="172" operator="equal">
      <formula>"n"</formula>
    </cfRule>
    <cfRule type="cellIs" dxfId="168" priority="173" operator="equal">
      <formula>"y"</formula>
    </cfRule>
  </conditionalFormatting>
  <conditionalFormatting sqref="K39">
    <cfRule type="cellIs" dxfId="167" priority="168" operator="equal">
      <formula>$K$10</formula>
    </cfRule>
    <cfRule type="cellIs" dxfId="166" priority="169" operator="equal">
      <formula>$K$9</formula>
    </cfRule>
    <cfRule type="cellIs" dxfId="165" priority="170" operator="equal">
      <formula>$K$5</formula>
    </cfRule>
    <cfRule type="cellIs" dxfId="164" priority="171" operator="equal">
      <formula>$K$3</formula>
    </cfRule>
  </conditionalFormatting>
  <conditionalFormatting sqref="K40">
    <cfRule type="cellIs" dxfId="163" priority="164" operator="equal">
      <formula>$K$10</formula>
    </cfRule>
    <cfRule type="cellIs" dxfId="162" priority="165" operator="equal">
      <formula>$K$9</formula>
    </cfRule>
    <cfRule type="cellIs" dxfId="161" priority="166" operator="equal">
      <formula>$K$5</formula>
    </cfRule>
    <cfRule type="cellIs" dxfId="160" priority="167" operator="equal">
      <formula>$K$3</formula>
    </cfRule>
  </conditionalFormatting>
  <conditionalFormatting sqref="K41">
    <cfRule type="cellIs" dxfId="159" priority="160" operator="equal">
      <formula>$K$10</formula>
    </cfRule>
    <cfRule type="cellIs" dxfId="158" priority="161" operator="equal">
      <formula>$K$9</formula>
    </cfRule>
    <cfRule type="cellIs" dxfId="157" priority="162" operator="equal">
      <formula>$K$5</formula>
    </cfRule>
    <cfRule type="cellIs" dxfId="156" priority="163" operator="equal">
      <formula>$K$3</formula>
    </cfRule>
  </conditionalFormatting>
  <conditionalFormatting sqref="K42">
    <cfRule type="cellIs" dxfId="155" priority="156" operator="equal">
      <formula>$K$10</formula>
    </cfRule>
    <cfRule type="cellIs" dxfId="154" priority="157" operator="equal">
      <formula>$K$9</formula>
    </cfRule>
    <cfRule type="cellIs" dxfId="153" priority="158" operator="equal">
      <formula>$K$5</formula>
    </cfRule>
    <cfRule type="cellIs" dxfId="152" priority="159" operator="equal">
      <formula>$K$3</formula>
    </cfRule>
  </conditionalFormatting>
  <conditionalFormatting sqref="M43:N44">
    <cfRule type="cellIs" dxfId="151" priority="154" operator="equal">
      <formula>"n"</formula>
    </cfRule>
    <cfRule type="cellIs" dxfId="150" priority="155" operator="equal">
      <formula>"y"</formula>
    </cfRule>
  </conditionalFormatting>
  <conditionalFormatting sqref="K43">
    <cfRule type="cellIs" dxfId="149" priority="150" operator="equal">
      <formula>$K$10</formula>
    </cfRule>
    <cfRule type="cellIs" dxfId="148" priority="151" operator="equal">
      <formula>$K$9</formula>
    </cfRule>
    <cfRule type="cellIs" dxfId="147" priority="152" operator="equal">
      <formula>$K$5</formula>
    </cfRule>
    <cfRule type="cellIs" dxfId="146" priority="153" operator="equal">
      <formula>$K$3</formula>
    </cfRule>
  </conditionalFormatting>
  <conditionalFormatting sqref="K44">
    <cfRule type="cellIs" dxfId="145" priority="146" operator="equal">
      <formula>$K$10</formula>
    </cfRule>
    <cfRule type="cellIs" dxfId="144" priority="147" operator="equal">
      <formula>$K$9</formula>
    </cfRule>
    <cfRule type="cellIs" dxfId="143" priority="148" operator="equal">
      <formula>$K$5</formula>
    </cfRule>
    <cfRule type="cellIs" dxfId="142" priority="149" operator="equal">
      <formula>$K$3</formula>
    </cfRule>
  </conditionalFormatting>
  <conditionalFormatting sqref="K45">
    <cfRule type="cellIs" dxfId="141" priority="142" operator="equal">
      <formula>$K$10</formula>
    </cfRule>
    <cfRule type="cellIs" dxfId="140" priority="143" operator="equal">
      <formula>$K$9</formula>
    </cfRule>
    <cfRule type="cellIs" dxfId="139" priority="144" operator="equal">
      <formula>$K$5</formula>
    </cfRule>
    <cfRule type="cellIs" dxfId="138" priority="145" operator="equal">
      <formula>$K$3</formula>
    </cfRule>
  </conditionalFormatting>
  <conditionalFormatting sqref="M45:O45">
    <cfRule type="cellIs" dxfId="137" priority="140" operator="equal">
      <formula>"n"</formula>
    </cfRule>
    <cfRule type="cellIs" dxfId="136" priority="141" operator="equal">
      <formula>"y"</formula>
    </cfRule>
  </conditionalFormatting>
  <conditionalFormatting sqref="M48:N48">
    <cfRule type="cellIs" dxfId="135" priority="138" operator="equal">
      <formula>"n"</formula>
    </cfRule>
    <cfRule type="cellIs" dxfId="134" priority="139" operator="equal">
      <formula>"y"</formula>
    </cfRule>
  </conditionalFormatting>
  <conditionalFormatting sqref="K48">
    <cfRule type="cellIs" dxfId="133" priority="134" operator="equal">
      <formula>$K$10</formula>
    </cfRule>
    <cfRule type="cellIs" dxfId="132" priority="135" operator="equal">
      <formula>$K$9</formula>
    </cfRule>
    <cfRule type="cellIs" dxfId="131" priority="136" operator="equal">
      <formula>$K$5</formula>
    </cfRule>
    <cfRule type="cellIs" dxfId="130" priority="137" operator="equal">
      <formula>$K$3</formula>
    </cfRule>
  </conditionalFormatting>
  <conditionalFormatting sqref="K51">
    <cfRule type="cellIs" dxfId="129" priority="130" operator="equal">
      <formula>$K$10</formula>
    </cfRule>
    <cfRule type="cellIs" dxfId="128" priority="131" operator="equal">
      <formula>$K$9</formula>
    </cfRule>
    <cfRule type="cellIs" dxfId="127" priority="132" operator="equal">
      <formula>$K$5</formula>
    </cfRule>
    <cfRule type="cellIs" dxfId="126" priority="133" operator="equal">
      <formula>$K$3</formula>
    </cfRule>
  </conditionalFormatting>
  <conditionalFormatting sqref="L51">
    <cfRule type="cellIs" dxfId="125" priority="126" operator="equal">
      <formula>$K$10</formula>
    </cfRule>
    <cfRule type="cellIs" dxfId="124" priority="127" operator="equal">
      <formula>$K$9</formula>
    </cfRule>
    <cfRule type="cellIs" dxfId="123" priority="128" operator="equal">
      <formula>$K$5</formula>
    </cfRule>
    <cfRule type="cellIs" dxfId="122" priority="129" operator="equal">
      <formula>$K$3</formula>
    </cfRule>
  </conditionalFormatting>
  <conditionalFormatting sqref="M52:N52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52">
    <cfRule type="cellIs" dxfId="119" priority="120" operator="equal">
      <formula>$K$10</formula>
    </cfRule>
    <cfRule type="cellIs" dxfId="118" priority="121" operator="equal">
      <formula>$K$9</formula>
    </cfRule>
    <cfRule type="cellIs" dxfId="117" priority="122" operator="equal">
      <formula>$K$5</formula>
    </cfRule>
    <cfRule type="cellIs" dxfId="116" priority="123" operator="equal">
      <formula>$K$3</formula>
    </cfRule>
  </conditionalFormatting>
  <conditionalFormatting sqref="M53:N53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53">
    <cfRule type="cellIs" dxfId="113" priority="114" operator="equal">
      <formula>$K$10</formula>
    </cfRule>
    <cfRule type="cellIs" dxfId="112" priority="115" operator="equal">
      <formula>$K$9</formula>
    </cfRule>
    <cfRule type="cellIs" dxfId="111" priority="116" operator="equal">
      <formula>$K$5</formula>
    </cfRule>
    <cfRule type="cellIs" dxfId="110" priority="117" operator="equal">
      <formula>$K$3</formula>
    </cfRule>
  </conditionalFormatting>
  <conditionalFormatting sqref="M54:N54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54">
    <cfRule type="cellIs" dxfId="107" priority="108" operator="equal">
      <formula>$K$10</formula>
    </cfRule>
    <cfRule type="cellIs" dxfId="106" priority="109" operator="equal">
      <formula>$K$9</formula>
    </cfRule>
    <cfRule type="cellIs" dxfId="105" priority="110" operator="equal">
      <formula>$K$5</formula>
    </cfRule>
    <cfRule type="cellIs" dxfId="104" priority="111" operator="equal">
      <formula>$K$3</formula>
    </cfRule>
  </conditionalFormatting>
  <conditionalFormatting sqref="M55:N55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55">
    <cfRule type="cellIs" dxfId="101" priority="102" operator="equal">
      <formula>$K$10</formula>
    </cfRule>
    <cfRule type="cellIs" dxfId="100" priority="103" operator="equal">
      <formula>$K$9</formula>
    </cfRule>
    <cfRule type="cellIs" dxfId="99" priority="104" operator="equal">
      <formula>$K$5</formula>
    </cfRule>
    <cfRule type="cellIs" dxfId="98" priority="105" operator="equal">
      <formula>$K$3</formula>
    </cfRule>
  </conditionalFormatting>
  <conditionalFormatting sqref="M56:N56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56">
    <cfRule type="cellIs" dxfId="95" priority="96" operator="equal">
      <formula>$K$10</formula>
    </cfRule>
    <cfRule type="cellIs" dxfId="94" priority="97" operator="equal">
      <formula>$K$9</formula>
    </cfRule>
    <cfRule type="cellIs" dxfId="93" priority="98" operator="equal">
      <formula>$K$5</formula>
    </cfRule>
    <cfRule type="cellIs" dxfId="92" priority="99" operator="equal">
      <formula>$K$3</formula>
    </cfRule>
  </conditionalFormatting>
  <conditionalFormatting sqref="M58:N58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58">
    <cfRule type="cellIs" dxfId="89" priority="90" operator="equal">
      <formula>$K$10</formula>
    </cfRule>
    <cfRule type="cellIs" dxfId="88" priority="91" operator="equal">
      <formula>$K$9</formula>
    </cfRule>
    <cfRule type="cellIs" dxfId="87" priority="92" operator="equal">
      <formula>$K$5</formula>
    </cfRule>
    <cfRule type="cellIs" dxfId="86" priority="93" operator="equal">
      <formula>$K$3</formula>
    </cfRule>
  </conditionalFormatting>
  <conditionalFormatting sqref="M59:N59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59">
    <cfRule type="cellIs" dxfId="83" priority="84" operator="equal">
      <formula>$K$10</formula>
    </cfRule>
    <cfRule type="cellIs" dxfId="82" priority="85" operator="equal">
      <formula>$K$9</formula>
    </cfRule>
    <cfRule type="cellIs" dxfId="81" priority="86" operator="equal">
      <formula>$K$5</formula>
    </cfRule>
    <cfRule type="cellIs" dxfId="80" priority="87" operator="equal">
      <formula>$K$3</formula>
    </cfRule>
  </conditionalFormatting>
  <conditionalFormatting sqref="M62:N62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62">
    <cfRule type="cellIs" dxfId="77" priority="78" operator="equal">
      <formula>$K$10</formula>
    </cfRule>
    <cfRule type="cellIs" dxfId="76" priority="79" operator="equal">
      <formula>$K$9</formula>
    </cfRule>
    <cfRule type="cellIs" dxfId="75" priority="80" operator="equal">
      <formula>$K$5</formula>
    </cfRule>
    <cfRule type="cellIs" dxfId="74" priority="81" operator="equal">
      <formula>$K$3</formula>
    </cfRule>
  </conditionalFormatting>
  <conditionalFormatting sqref="M64:N64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64">
    <cfRule type="cellIs" dxfId="71" priority="72" operator="equal">
      <formula>$K$10</formula>
    </cfRule>
    <cfRule type="cellIs" dxfId="70" priority="73" operator="equal">
      <formula>$K$9</formula>
    </cfRule>
    <cfRule type="cellIs" dxfId="69" priority="74" operator="equal">
      <formula>$K$5</formula>
    </cfRule>
    <cfRule type="cellIs" dxfId="68" priority="75" operator="equal">
      <formula>$K$3</formula>
    </cfRule>
  </conditionalFormatting>
  <conditionalFormatting sqref="M65:N65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65">
    <cfRule type="cellIs" dxfId="65" priority="66" operator="equal">
      <formula>$K$10</formula>
    </cfRule>
    <cfRule type="cellIs" dxfId="64" priority="67" operator="equal">
      <formula>$K$9</formula>
    </cfRule>
    <cfRule type="cellIs" dxfId="63" priority="68" operator="equal">
      <formula>$K$5</formula>
    </cfRule>
    <cfRule type="cellIs" dxfId="62" priority="69" operator="equal">
      <formula>$K$3</formula>
    </cfRule>
  </conditionalFormatting>
  <conditionalFormatting sqref="M66:N66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66">
    <cfRule type="cellIs" dxfId="59" priority="60" operator="equal">
      <formula>$K$10</formula>
    </cfRule>
    <cfRule type="cellIs" dxfId="58" priority="61" operator="equal">
      <formula>$K$9</formula>
    </cfRule>
    <cfRule type="cellIs" dxfId="57" priority="62" operator="equal">
      <formula>$K$5</formula>
    </cfRule>
    <cfRule type="cellIs" dxfId="56" priority="63" operator="equal">
      <formula>$K$3</formula>
    </cfRule>
  </conditionalFormatting>
  <conditionalFormatting sqref="M67:N67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67">
    <cfRule type="cellIs" dxfId="53" priority="54" operator="equal">
      <formula>$K$10</formula>
    </cfRule>
    <cfRule type="cellIs" dxfId="52" priority="55" operator="equal">
      <formula>$K$9</formula>
    </cfRule>
    <cfRule type="cellIs" dxfId="51" priority="56" operator="equal">
      <formula>$K$5</formula>
    </cfRule>
    <cfRule type="cellIs" dxfId="50" priority="57" operator="equal">
      <formula>$K$3</formula>
    </cfRule>
  </conditionalFormatting>
  <conditionalFormatting sqref="M68:N68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68">
    <cfRule type="cellIs" dxfId="47" priority="48" operator="equal">
      <formula>$K$10</formula>
    </cfRule>
    <cfRule type="cellIs" dxfId="46" priority="49" operator="equal">
      <formula>$K$9</formula>
    </cfRule>
    <cfRule type="cellIs" dxfId="45" priority="50" operator="equal">
      <formula>$K$5</formula>
    </cfRule>
    <cfRule type="cellIs" dxfId="44" priority="51" operator="equal">
      <formula>$K$3</formula>
    </cfRule>
  </conditionalFormatting>
  <conditionalFormatting sqref="M69:N69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69">
    <cfRule type="cellIs" dxfId="41" priority="42" operator="equal">
      <formula>$K$10</formula>
    </cfRule>
    <cfRule type="cellIs" dxfId="40" priority="43" operator="equal">
      <formula>$K$9</formula>
    </cfRule>
    <cfRule type="cellIs" dxfId="39" priority="44" operator="equal">
      <formula>$K$5</formula>
    </cfRule>
    <cfRule type="cellIs" dxfId="38" priority="45" operator="equal">
      <formula>$K$3</formula>
    </cfRule>
  </conditionalFormatting>
  <conditionalFormatting sqref="M70:N70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70">
    <cfRule type="cellIs" dxfId="35" priority="36" operator="equal">
      <formula>$K$10</formula>
    </cfRule>
    <cfRule type="cellIs" dxfId="34" priority="37" operator="equal">
      <formula>$K$9</formula>
    </cfRule>
    <cfRule type="cellIs" dxfId="33" priority="38" operator="equal">
      <formula>$K$5</formula>
    </cfRule>
    <cfRule type="cellIs" dxfId="32" priority="39" operator="equal">
      <formula>$K$3</formula>
    </cfRule>
  </conditionalFormatting>
  <conditionalFormatting sqref="M72:N72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72">
    <cfRule type="cellIs" dxfId="29" priority="24" operator="equal">
      <formula>$K$10</formula>
    </cfRule>
    <cfRule type="cellIs" dxfId="28" priority="25" operator="equal">
      <formula>$K$9</formula>
    </cfRule>
    <cfRule type="cellIs" dxfId="27" priority="26" operator="equal">
      <formula>$K$5</formula>
    </cfRule>
    <cfRule type="cellIs" dxfId="26" priority="27" operator="equal">
      <formula>$K$3</formula>
    </cfRule>
  </conditionalFormatting>
  <conditionalFormatting sqref="M73:N73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73">
    <cfRule type="cellIs" dxfId="23" priority="18" operator="equal">
      <formula>$K$10</formula>
    </cfRule>
    <cfRule type="cellIs" dxfId="22" priority="19" operator="equal">
      <formula>$K$9</formula>
    </cfRule>
    <cfRule type="cellIs" dxfId="21" priority="20" operator="equal">
      <formula>$K$5</formula>
    </cfRule>
    <cfRule type="cellIs" dxfId="20" priority="21" operator="equal">
      <formula>$K$3</formula>
    </cfRule>
  </conditionalFormatting>
  <conditionalFormatting sqref="K71">
    <cfRule type="cellIs" dxfId="19" priority="14" operator="equal">
      <formula>$K$10</formula>
    </cfRule>
    <cfRule type="cellIs" dxfId="18" priority="15" operator="equal">
      <formula>$K$9</formula>
    </cfRule>
    <cfRule type="cellIs" dxfId="17" priority="16" operator="equal">
      <formula>$K$5</formula>
    </cfRule>
    <cfRule type="cellIs" dxfId="16" priority="17" operator="equal">
      <formula>$K$3</formula>
    </cfRule>
  </conditionalFormatting>
  <conditionalFormatting sqref="M71:O71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50:N50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50">
    <cfRule type="cellIs" dxfId="11" priority="6" operator="equal">
      <formula>$K$10</formula>
    </cfRule>
    <cfRule type="cellIs" dxfId="10" priority="7" operator="equal">
      <formula>$K$9</formula>
    </cfRule>
    <cfRule type="cellIs" dxfId="9" priority="8" operator="equal">
      <formula>$K$5</formula>
    </cfRule>
    <cfRule type="cellIs" dxfId="8" priority="9" operator="equal">
      <formula>$K$3</formula>
    </cfRule>
  </conditionalFormatting>
  <conditionalFormatting sqref="K1:K30 K32:K1048576">
    <cfRule type="cellIs" dxfId="7" priority="5" operator="equal">
      <formula>$K$69</formula>
    </cfRule>
  </conditionalFormatting>
  <conditionalFormatting sqref="K17">
    <cfRule type="cellIs" dxfId="6" priority="1" operator="equal">
      <formula>$K$10</formula>
    </cfRule>
    <cfRule type="cellIs" dxfId="5" priority="2" operator="equal">
      <formula>$K$9</formula>
    </cfRule>
    <cfRule type="cellIs" dxfId="4" priority="3" operator="equal">
      <formula>$K$5</formula>
    </cfRule>
    <cfRule type="cellIs" dxfId="3" priority="4" operator="equal">
      <formula>$K$3</formula>
    </cfRule>
  </conditionalFormatting>
  <conditionalFormatting sqref="Q1:R30 Q32:R1048576">
    <cfRule type="cellIs" dxfId="2" priority="230" operator="greaterThan">
      <formula>0</formula>
    </cfRule>
    <cfRule type="cellIs" dxfId="1" priority="231" operator="lessThan">
      <formula>0</formula>
    </cfRule>
    <cfRule type="cellIs" dxfId="0" priority="232" operator="equal">
      <formula>0</formula>
    </cfRule>
  </conditionalFormatting>
  <hyperlinks>
    <hyperlink ref="U3" r:id="rId1"/>
    <hyperlink ref="U4" r:id="rId2"/>
    <hyperlink ref="U5" r:id="rId3"/>
    <hyperlink ref="U6" r:id="rId4"/>
    <hyperlink ref="U23" r:id="rId5"/>
    <hyperlink ref="U24" r:id="rId6"/>
    <hyperlink ref="U9" r:id="rId7"/>
    <hyperlink ref="U11" r:id="rId8"/>
    <hyperlink ref="U12" r:id="rId9"/>
    <hyperlink ref="U13" r:id="rId10"/>
    <hyperlink ref="U16" r:id="rId11"/>
    <hyperlink ref="U18" r:id="rId12"/>
    <hyperlink ref="U19" r:id="rId13"/>
    <hyperlink ref="U20" r:id="rId14"/>
    <hyperlink ref="U26" r:id="rId15"/>
    <hyperlink ref="U28" r:id="rId16"/>
    <hyperlink ref="U37" r:id="rId17"/>
    <hyperlink ref="U32" r:id="rId18"/>
    <hyperlink ref="U33" r:id="rId19"/>
    <hyperlink ref="U34" r:id="rId20"/>
    <hyperlink ref="U41" r:id="rId21"/>
    <hyperlink ref="U38" r:id="rId22"/>
    <hyperlink ref="U39" r:id="rId23"/>
    <hyperlink ref="U40" r:id="rId24"/>
    <hyperlink ref="U42" r:id="rId25"/>
    <hyperlink ref="U45" r:id="rId26"/>
    <hyperlink ref="U43" r:id="rId27" display="https://uk.farnell.com/molex/22-23-2021/connector-header-2pos-1row-2-54mm/dp/1462926"/>
    <hyperlink ref="U44" r:id="rId28"/>
    <hyperlink ref="U48" r:id="rId29"/>
    <hyperlink ref="U50" r:id="rId30"/>
    <hyperlink ref="U51" r:id="rId31"/>
    <hyperlink ref="U52" r:id="rId32"/>
    <hyperlink ref="U53" r:id="rId33"/>
    <hyperlink ref="U54" r:id="rId34"/>
    <hyperlink ref="U55" r:id="rId35"/>
    <hyperlink ref="U56" r:id="rId36"/>
    <hyperlink ref="U58" r:id="rId37"/>
    <hyperlink ref="U59" r:id="rId38"/>
    <hyperlink ref="U62" r:id="rId39"/>
    <hyperlink ref="U64" r:id="rId40"/>
    <hyperlink ref="U65" r:id="rId41"/>
    <hyperlink ref="U66" r:id="rId42"/>
    <hyperlink ref="U67" r:id="rId43"/>
    <hyperlink ref="U68" r:id="rId44"/>
    <hyperlink ref="U71" r:id="rId45"/>
    <hyperlink ref="U8" r:id="rId46"/>
    <hyperlink ref="U10" r:id="rId47"/>
    <hyperlink ref="U17" r:id="rId48"/>
    <hyperlink ref="U73" r:id="rId49"/>
  </hyperlinks>
  <pageMargins left="0.7" right="0.7" top="0.75" bottom="0.75" header="0.3" footer="0.3"/>
  <pageSetup paperSize="9" scale="24" orientation="landscape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RemoteLabs_supervisor_PCB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cp:lastPrinted>2022-05-12T09:21:37Z</cp:lastPrinted>
  <dcterms:created xsi:type="dcterms:W3CDTF">2022-05-04T14:37:04Z</dcterms:created>
  <dcterms:modified xsi:type="dcterms:W3CDTF">2022-05-13T16:06:47Z</dcterms:modified>
</cp:coreProperties>
</file>