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heard\Documents\KiCad\Projects\RemoteLabs_Supervisor_PCB\RemoteLabs_supervisor_PCB\"/>
    </mc:Choice>
  </mc:AlternateContent>
  <bookViews>
    <workbookView xWindow="0" yWindow="0" windowWidth="28800" windowHeight="12300"/>
  </bookViews>
  <sheets>
    <sheet name="RemoteLabs_supervisor_PCB" sheetId="1" r:id="rId1"/>
  </sheets>
  <definedNames>
    <definedName name="_xlnm.Print_Area" localSheetId="0">RemoteLabs_supervisor_PCB!$A$1:$S$50</definedName>
  </definedNames>
  <calcPr calcId="162913"/>
</workbook>
</file>

<file path=xl/calcChain.xml><?xml version="1.0" encoding="utf-8"?>
<calcChain xmlns="http://schemas.openxmlformats.org/spreadsheetml/2006/main">
  <c r="I33" i="1" l="1"/>
  <c r="Q33" i="1"/>
  <c r="I3" i="1" l="1"/>
  <c r="Q3" i="1" s="1"/>
  <c r="I4" i="1"/>
  <c r="Q4" i="1" s="1"/>
  <c r="I5" i="1"/>
  <c r="Q5" i="1" s="1"/>
  <c r="I6" i="1"/>
  <c r="Q6" i="1" s="1"/>
  <c r="I7" i="1"/>
  <c r="Q7" i="1" s="1"/>
  <c r="I8" i="1"/>
  <c r="Q8" i="1" s="1"/>
  <c r="I9" i="1"/>
  <c r="Q9" i="1" s="1"/>
  <c r="I11" i="1"/>
  <c r="Q11" i="1" s="1"/>
  <c r="I12" i="1"/>
  <c r="Q12" i="1" s="1"/>
  <c r="I13" i="1"/>
  <c r="Q13" i="1" s="1"/>
  <c r="I14" i="1"/>
  <c r="Q14" i="1" s="1"/>
  <c r="I15" i="1"/>
  <c r="Q15" i="1" s="1"/>
  <c r="I16" i="1"/>
  <c r="Q16" i="1" s="1"/>
  <c r="I18" i="1"/>
  <c r="Q18" i="1" s="1"/>
  <c r="I19" i="1"/>
  <c r="Q19" i="1" s="1"/>
  <c r="I22" i="1"/>
  <c r="Q22" i="1" s="1"/>
  <c r="I25" i="1"/>
  <c r="Q25" i="1" s="1"/>
  <c r="I26" i="1"/>
  <c r="Q26" i="1" s="1"/>
  <c r="I27" i="1"/>
  <c r="Q27" i="1" s="1"/>
  <c r="I28" i="1"/>
  <c r="Q28" i="1" s="1"/>
  <c r="I29" i="1"/>
  <c r="Q29" i="1" s="1"/>
  <c r="I30" i="1"/>
  <c r="Q30" i="1" s="1"/>
  <c r="I31" i="1"/>
  <c r="Q31" i="1" s="1"/>
  <c r="I34" i="1"/>
  <c r="Q34" i="1" s="1"/>
  <c r="I35" i="1"/>
  <c r="Q35" i="1" s="1"/>
  <c r="I37" i="1"/>
  <c r="Q37" i="1" s="1"/>
  <c r="I38" i="1"/>
  <c r="I39" i="1"/>
  <c r="Q39" i="1" s="1"/>
  <c r="I40" i="1"/>
  <c r="Q40" i="1" s="1"/>
  <c r="I41" i="1"/>
  <c r="Q41" i="1" s="1"/>
  <c r="I42" i="1"/>
  <c r="Q42" i="1" s="1"/>
  <c r="I43" i="1"/>
  <c r="Q43" i="1" s="1"/>
  <c r="I44" i="1"/>
  <c r="Q44" i="1" s="1"/>
  <c r="I45" i="1"/>
  <c r="I46" i="1"/>
  <c r="Q46" i="1" s="1"/>
  <c r="I48" i="1"/>
  <c r="Q48" i="1" s="1"/>
  <c r="I49" i="1"/>
  <c r="Q49" i="1" s="1"/>
  <c r="I50" i="1"/>
  <c r="I51" i="1"/>
  <c r="I52" i="1"/>
  <c r="I53" i="1"/>
  <c r="I54" i="1"/>
  <c r="I55" i="1"/>
  <c r="I56" i="1"/>
  <c r="I57" i="1"/>
  <c r="I58" i="1"/>
  <c r="I59" i="1"/>
</calcChain>
</file>

<file path=xl/sharedStrings.xml><?xml version="1.0" encoding="utf-8"?>
<sst xmlns="http://schemas.openxmlformats.org/spreadsheetml/2006/main" count="425" uniqueCount="197">
  <si>
    <t>Ref</t>
  </si>
  <si>
    <t>Qnty</t>
  </si>
  <si>
    <t>Value</t>
  </si>
  <si>
    <t>Cmp name</t>
  </si>
  <si>
    <t>Footprint</t>
  </si>
  <si>
    <t>Description</t>
  </si>
  <si>
    <t>Vendor</t>
  </si>
  <si>
    <t>10u</t>
  </si>
  <si>
    <t>cap_film_0805</t>
  </si>
  <si>
    <t>Capacitor_SMD:C_0805_2012Metric_Pad1.18x1.45mm_HandSolder</t>
  </si>
  <si>
    <t>Unpolarized capacitor</t>
  </si>
  <si>
    <t>100p</t>
  </si>
  <si>
    <t>100n</t>
  </si>
  <si>
    <t>22u</t>
  </si>
  <si>
    <t xml:space="preserve">C3, C13, </t>
  </si>
  <si>
    <t>4n7</t>
  </si>
  <si>
    <t xml:space="preserve">C4, C5, C14, C15, </t>
  </si>
  <si>
    <t>9pF</t>
  </si>
  <si>
    <t>cap_film_0805_mini</t>
  </si>
  <si>
    <t xml:space="preserve">C7, C17, </t>
  </si>
  <si>
    <t>1u</t>
  </si>
  <si>
    <t xml:space="preserve">D1, </t>
  </si>
  <si>
    <t>BZV55B9V1</t>
  </si>
  <si>
    <t>Diode_SMD:D_MiniMELF</t>
  </si>
  <si>
    <t>9.1V, 500mW, 2%, Zener diode, MiniMELF</t>
  </si>
  <si>
    <t xml:space="preserve">D2, D5, </t>
  </si>
  <si>
    <t>PMEG6020ER</t>
  </si>
  <si>
    <t>Diode_SMD:Nexperia_CFP3_SOD-123W</t>
  </si>
  <si>
    <t>60V, 2A low Vf MEGA Schottky barrier rectifier, SOD-123W</t>
  </si>
  <si>
    <t xml:space="preserve">D3, D4, </t>
  </si>
  <si>
    <t>PRTR5V0U2X</t>
  </si>
  <si>
    <t>PRTR5V0U2X_smaller</t>
  </si>
  <si>
    <t>Ultra low capacitance double rail-to-rail ESD protection diode, SOT-143</t>
  </si>
  <si>
    <t xml:space="preserve">D6, </t>
  </si>
  <si>
    <t>LED</t>
  </si>
  <si>
    <t>Light emitting diode</t>
  </si>
  <si>
    <t xml:space="preserve">D7, </t>
  </si>
  <si>
    <t xml:space="preserve">D8, D9, </t>
  </si>
  <si>
    <t xml:space="preserve">EC1, EC2, EC3, EC4, EC5, EC6, EC7, EC8, </t>
  </si>
  <si>
    <t>Polarized capacitor</t>
  </si>
  <si>
    <t xml:space="preserve">EC9, EC10, EC11, </t>
  </si>
  <si>
    <t>100u</t>
  </si>
  <si>
    <t xml:space="preserve">FB1, FB2, </t>
  </si>
  <si>
    <t>BLM18PG471</t>
  </si>
  <si>
    <t>FerriteBead_Small</t>
  </si>
  <si>
    <t>Inductor_SMD:L_0805_2012Metric_Pad1.05x1.20mm_HandSolder</t>
  </si>
  <si>
    <t>Ferrite bead, small symbol</t>
  </si>
  <si>
    <t xml:space="preserve">R1, R3, </t>
  </si>
  <si>
    <t>2k2</t>
  </si>
  <si>
    <t>Resistor_0805</t>
  </si>
  <si>
    <t>Resistor_SMD:R_0805_2012Metric_Pad1.20x1.40mm_HandSolder</t>
  </si>
  <si>
    <t>Resistor</t>
  </si>
  <si>
    <t xml:space="preserve">R2, R4, R5, R6, R37, R38, R39, </t>
  </si>
  <si>
    <t>330r</t>
  </si>
  <si>
    <t xml:space="preserve">R7, R8, R14, </t>
  </si>
  <si>
    <t>1M</t>
  </si>
  <si>
    <t xml:space="preserve">R9, R10, R11, R22, R23, R24, R25, R26, R27, R28, R29, R30, R31, R32, R33, R34, R35, R36, </t>
  </si>
  <si>
    <t>1k</t>
  </si>
  <si>
    <t xml:space="preserve">R12, R13, </t>
  </si>
  <si>
    <t>470r</t>
  </si>
  <si>
    <t xml:space="preserve">R15, R16, R18, R20, </t>
  </si>
  <si>
    <t>10k</t>
  </si>
  <si>
    <t xml:space="preserve">R17, R19, R21, </t>
  </si>
  <si>
    <t>2k7</t>
  </si>
  <si>
    <t xml:space="preserve">SW1, </t>
  </si>
  <si>
    <t>Stepper_Mode</t>
  </si>
  <si>
    <t>SW_DIP_x03</t>
  </si>
  <si>
    <t>Button_Switch_SMD:SW_DIP_SPSTx03_Slide_6.7x9.18mm_W6.73mm_P2.54mm_LowProfile_JPin</t>
  </si>
  <si>
    <t>3x DIP Switch, Single Pole Single Throw (SPST) switch, small symbol</t>
  </si>
  <si>
    <t>Student Reset</t>
  </si>
  <si>
    <t>pushbutton_tactile_2pin_SMD</t>
  </si>
  <si>
    <t>MEC 5E single pole normally-open tactile switch</t>
  </si>
  <si>
    <t xml:space="preserve">U3, </t>
  </si>
  <si>
    <t>AMS1117-3.3</t>
  </si>
  <si>
    <t>Package_TO_SOT_SMD:SOT-223-3_TabPin2</t>
  </si>
  <si>
    <t>1A Low Dropout regulator, positive, 3.3V fixed output, SOT-223</t>
  </si>
  <si>
    <t xml:space="preserve">U4, U6, </t>
  </si>
  <si>
    <t>ATSAMD21G18A-M</t>
  </si>
  <si>
    <t>Package_DFN_QFN:QFN-48-1EP_7x7mm_P0.5mm_EP5.15x5.15mm</t>
  </si>
  <si>
    <t>SAM D21 Microchip SMART ARM-based Flash MCU, 48Mhz, 256K Flash, 32K SRAM, QFN-48</t>
  </si>
  <si>
    <t xml:space="preserve">U5, U7, </t>
  </si>
  <si>
    <t>Package_DIP:SMDIP-18_W9.53mm</t>
  </si>
  <si>
    <t>8-bit serial in/out Shift Register 3-State Outputs</t>
  </si>
  <si>
    <t xml:space="preserve">U8, </t>
  </si>
  <si>
    <t>Package_DIP:SMDIP-14_W9.53mm</t>
  </si>
  <si>
    <t>Hex inverter</t>
  </si>
  <si>
    <t xml:space="preserve">U9, U10, U11, U12, </t>
  </si>
  <si>
    <t>Quad And 2 inputs</t>
  </si>
  <si>
    <t xml:space="preserve">U13, U14, </t>
  </si>
  <si>
    <t>74HC86</t>
  </si>
  <si>
    <t>Quad 2-input XOR</t>
  </si>
  <si>
    <t xml:space="preserve">U15, U16, U17, </t>
  </si>
  <si>
    <t>NCS20074D</t>
  </si>
  <si>
    <t>Package_SO:SOIC-14_3.9x8.7mm_P1.27mm</t>
  </si>
  <si>
    <t>Quad, 2.8V/Ã‚Âµs, Rail-to-Rail Output, SOIC-14</t>
  </si>
  <si>
    <t>R-78C5.0-1.0</t>
  </si>
  <si>
    <t>Converter_DCDC:Converter_DCDC_RECOM_R-78E-0.5_THT</t>
  </si>
  <si>
    <t>1A Step-Down DC/DC-Regulator, 7-42V input, 5V fixed Output Voltage, LM78xx replacement, -40Ã‚Â°C to +85Ã‚Â°C, SIP3</t>
  </si>
  <si>
    <t xml:space="preserve">U19, </t>
  </si>
  <si>
    <t>AD8497</t>
  </si>
  <si>
    <t>Package_SO:MSOP-8_3x3mm_P0.65mm</t>
  </si>
  <si>
    <t>Precision Thermocouple Amplifiers with Cold Junction Compensation, K-Type Thermocouple, 25 to 100C, MSOP-8</t>
  </si>
  <si>
    <t xml:space="preserve">U20, U21, U22, </t>
  </si>
  <si>
    <t>74LS07</t>
  </si>
  <si>
    <t>Hex Buffers and Drivers With Open Collector High Voltage Outputs</t>
  </si>
  <si>
    <t xml:space="preserve">Y1, Y2, </t>
  </si>
  <si>
    <t>32.768 kHz</t>
  </si>
  <si>
    <t>Crystal_Small</t>
  </si>
  <si>
    <t>Crystal:Crystal_SMD_SeikoEpson_MC405-2Pin_9.6x4.1mm_HandSoldering</t>
  </si>
  <si>
    <t>Two pin crystal, small symbol</t>
  </si>
  <si>
    <t>Ordered</t>
  </si>
  <si>
    <t>No. of Boards</t>
  </si>
  <si>
    <t>Total Quantity</t>
  </si>
  <si>
    <t>RS Online</t>
  </si>
  <si>
    <t>y</t>
  </si>
  <si>
    <t>Delivered/Expected</t>
  </si>
  <si>
    <t>Submitted</t>
  </si>
  <si>
    <t>n</t>
  </si>
  <si>
    <t>Requisition</t>
  </si>
  <si>
    <t>farnell</t>
  </si>
  <si>
    <t>Q Ordered</t>
  </si>
  <si>
    <t>surplus</t>
  </si>
  <si>
    <t>C1A1, C2A1,</t>
  </si>
  <si>
    <t xml:space="preserve">C8, C9, C11, C12, C18, C19, C21, C22, C24, C25, C26, C27, C28, C29, C30, C31, C32, C33, C34, C35, C38, C39, C40, C41, C42, C43, C1B1, C2B1, </t>
  </si>
  <si>
    <t>LED BLUE</t>
  </si>
  <si>
    <t>LED ORANGE</t>
  </si>
  <si>
    <t xml:space="preserve">SW2, SW3, </t>
  </si>
  <si>
    <t>not req</t>
  </si>
  <si>
    <t>half</t>
  </si>
  <si>
    <t>NOT AVAILABLE</t>
  </si>
  <si>
    <t>NOT REQUIRED</t>
  </si>
  <si>
    <t>Part Number</t>
  </si>
  <si>
    <t>Link</t>
  </si>
  <si>
    <t xml:space="preserve"> </t>
  </si>
  <si>
    <t>https://uk.farnell.com/kemet/exv106m025a9baa/cap-10-f-25v-radial-smd/dp/2069174?st=10uf</t>
  </si>
  <si>
    <t>https://uk.farnell.com/kemet/edk107m035a9haa/cap-100-f-35v-radial-smd-reel/dp/2068675?st=100uf</t>
  </si>
  <si>
    <t>https://uk.farnell.com/avx/08055a101jat2a/cap-100pf-50v-5-c0g-np0-0805/dp/2280669?st=100p%200805</t>
  </si>
  <si>
    <t>https://uk.farnell.com/avx/08055c104kat4a/cap-0-1-f-50v-10-x7r-0805/dp/2332787?st=100n%200805</t>
  </si>
  <si>
    <t>https://uk.farnell.com/kemet/c0805c472k5ractu/cap-4700pf-50v-10-x7r-0805/dp/1414696?st=4n7%200805</t>
  </si>
  <si>
    <t>https://uk.farnell.com/multicomp/mc0805n9r0d500ct/cap-9pf-50v-c0g-np0-0805/dp/1759189?st=9pf%200805</t>
  </si>
  <si>
    <t>https://uk.farnell.com/avx/tajr105k020rnj/cap-1-f-20v-10-0805-smd/dp/1432430?st=1u+0805+tantlium</t>
  </si>
  <si>
    <t>https://uk.farnell.com/nexperia/bzv55-b9v1-115/diode-zener-9-1v-500mw-sod-80c/dp/2319152?st=bzv55b9v1</t>
  </si>
  <si>
    <t>https://uk.farnell.com/nexperia/prtr5v0u2x-215/diode-tvs-dual-sot-143b/dp/1524157RL?st=prtr5v0u2x</t>
  </si>
  <si>
    <t>Blue LED</t>
  </si>
  <si>
    <t>Orange LED</t>
  </si>
  <si>
    <t>Yellow LED</t>
  </si>
  <si>
    <t>https://uk.farnell.com/multicomp-pro/mp008292/led-blue-210mcd-475nm-0805/dp/3796324?st=led</t>
  </si>
  <si>
    <t>https://uk.farnell.com/kingbright/kp-2012seck/led-0805-250mcd-orange/dp/2290332?st=orange%20led%200805</t>
  </si>
  <si>
    <t>104-8535</t>
  </si>
  <si>
    <t>https://uk.rs-online.com/web/p/ferrite-beads/1048535</t>
  </si>
  <si>
    <t>2447553RL</t>
  </si>
  <si>
    <t>https://uk.farnell.com/multicomp/mchp05w4f2201t5e/res-2k2-1-0-25w-0805-thick-film/dp/1576464?st=2k2%200805</t>
  </si>
  <si>
    <t>https://uk.farnell.com/multicomp/mchp05w4f3300t5e/res-330r-1-0-25w-0805-thick-film/dp/1576452?st=330r%200805</t>
  </si>
  <si>
    <t>https://uk.farnell.com/te-connectivity/crgcq0805f1m0/res-1m-1-0805-thick-film/dp/2861558?st=1m%200805</t>
  </si>
  <si>
    <t>https://uk.farnell.com/te-connectivity/crgh0805f1k0/res-1k-1-0-33w-0805-thick-film/dp/2332071?st=1k%200805</t>
  </si>
  <si>
    <t>https://uk.farnell.com/walsin/wf08p4700ftl/res-470r-1-0-25w-0805-thick-film/dp/2670094?st=470r%200805</t>
  </si>
  <si>
    <t>https://uk.farnell.com/multicomp/mcwr08x1002ftl/res-10k-1-0-125w-0805-thick-film/dp/2447553RL?st=10k%200805</t>
  </si>
  <si>
    <t>https://uk.farnell.com/multicomp/mcwr08x2701ftl/res-2k7-1-0-125w-thick-film/dp/2447627?st=2k7%200805</t>
  </si>
  <si>
    <t>2320087RL</t>
  </si>
  <si>
    <t>https://uk.farnell.com/cts/219-3lpstr/dip-switch-0-1a-50vdc-3pos-smd/dp/3778050?st=dipswitches</t>
  </si>
  <si>
    <t>https://uk.farnell.com/c-k-components/pts645sm43smtr92lfs/switch-spst-0-05a-12vdc-smd-4/dp/2320087RL</t>
  </si>
  <si>
    <t>1652366RL</t>
  </si>
  <si>
    <t>https://uk.farnell.com/on-semiconductor/ncp1117st33t3g/ic-linear-voltage-regulator/dp/1652366RL?st=ldo</t>
  </si>
  <si>
    <t>https://uk.farnell.com/nexperia/hef4094bt/ic-4000-locmos-smd-4094-soic16/dp/1201297?st=4094</t>
  </si>
  <si>
    <t>https://uk.farnell.com/nexperia/hef4069ubt/ic-4000-locmos-smd-4069-soic14/dp/1201295?st=4069</t>
  </si>
  <si>
    <t>https://uk.farnell.com/nexperia/hef4081bt/ic-4000-locmos-smd-4081-soic14/dp/1085290?st=4081</t>
  </si>
  <si>
    <t>https://uk.farnell.com/nexperia/74hc86d/ic-74hc-cmos-smd-74hc86-soic14/dp/1085331?st=74hc86</t>
  </si>
  <si>
    <t>https://uk.farnell.com/on-semiconductor/ncs20074dr2g/op-amp-quad-3mhz-2-8v-us-soic/dp/2774608?st=ncs20074</t>
  </si>
  <si>
    <t>827-0301</t>
  </si>
  <si>
    <t>https://uk.rs-online.com/web/p/buffers/8270301</t>
  </si>
  <si>
    <t>https://uk.farnell.com/murata/grm21bc81c106ke15l/cap-10-f-16v-10-x6s-0805/dp/1907513?ICID=I-RP-STM7REC-0</t>
  </si>
  <si>
    <t>https://uk.farnell.com/kemet/c0805c226m8pactu/cap-22-f-10v-20-x5r-0805/dp/2773239?st=22uf%20mlcc</t>
  </si>
  <si>
    <t>https://uk.farnell.com/multicomp/mcl-s270yc/led-smd-0805-yellow/dp/1581241?st=0805%20yellow%20led</t>
  </si>
  <si>
    <t>https://uk.rs-online.com/web/p/schottky-diodes-rectifiers/7805414</t>
  </si>
  <si>
    <t>193-4004</t>
  </si>
  <si>
    <t>https://uk.rs-online.com/web/p/switching-regulators/1934004</t>
  </si>
  <si>
    <t>780-5414</t>
  </si>
  <si>
    <t>https://uk.farnell.com/abracon/asek-32-768khz-lrt/osc-32-768khz-3-2-x-2-5mm-lvcmos/dp/2467903</t>
  </si>
  <si>
    <t>Led_0805(2012METRIC)</t>
  </si>
  <si>
    <t>Capacitor_SMD:CP_Elec_4x5.4</t>
  </si>
  <si>
    <t>Capacitor_SMD:CP_Elec_6.3x7.7</t>
  </si>
  <si>
    <t>SOIC-14</t>
  </si>
  <si>
    <t>Alternative Due to Stock Issues</t>
  </si>
  <si>
    <t>https://www.mouser.co.uk/ProductDetail/Nexperia/HEF4094BT653?qs=me8TqzrmIYXYasToWufdKw%3D%3D</t>
  </si>
  <si>
    <t xml:space="preserve">U1, U18, </t>
  </si>
  <si>
    <t>C1, C6,</t>
  </si>
  <si>
    <t>C2, C10</t>
  </si>
  <si>
    <t>Package_TO_SOT_SMD:SOT-143B</t>
  </si>
  <si>
    <t>Added Stuff To Include</t>
  </si>
  <si>
    <t>https://www.digikey.be/en/products/detail/toshiba-semiconductor-and-storage/TC7SH14FLJ-CT/4971175</t>
  </si>
  <si>
    <t>10n Cap</t>
  </si>
  <si>
    <t>0r Resistor</t>
  </si>
  <si>
    <t>Extra Caps</t>
  </si>
  <si>
    <t>Only needed for oscillator so not 100% req at this moment</t>
  </si>
  <si>
    <t>POLARISED Capacitor</t>
  </si>
  <si>
    <t>Y but waiting for 200 more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</si>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</sst>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0" tint="-0.249977111117893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0" tint="-0.249977111117893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7" fillId="3" borderId="0" xfId="7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11" xfId="0" applyBorder="1" applyAlignment="1">
      <alignment vertical="center"/>
    </xf>
    <xf numFmtId="0" fontId="19" fillId="0" borderId="12" xfId="42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19" fillId="0" borderId="0" xfId="42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0" borderId="0" xfId="42" applyAlignment="1">
      <alignment vertical="center"/>
    </xf>
    <xf numFmtId="0" fontId="0" fillId="33" borderId="0" xfId="0" applyFill="1" applyAlignment="1">
      <alignment horizontal="center" vertical="center"/>
    </xf>
    <xf numFmtId="0" fontId="0" fillId="33" borderId="0" xfId="0" applyFill="1" applyAlignment="1">
      <alignment vertical="center"/>
    </xf>
    <xf numFmtId="0" fontId="0" fillId="33" borderId="0" xfId="0" applyFill="1"/>
    <xf numFmtId="0" fontId="19" fillId="0" borderId="15" xfId="42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1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0" fillId="0" borderId="12" xfId="0" applyFont="1" applyBorder="1" applyAlignment="1">
      <alignment horizontal="left" vertical="center"/>
    </xf>
    <xf numFmtId="0" fontId="20" fillId="0" borderId="15" xfId="0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33" borderId="0" xfId="0" applyFill="1" applyAlignment="1">
      <alignment horizontal="left" vertical="center"/>
    </xf>
    <xf numFmtId="0" fontId="20" fillId="0" borderId="12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8" fillId="0" borderId="0" xfId="8" applyFill="1" applyBorder="1" applyAlignment="1">
      <alignment horizontal="center" vertical="center"/>
    </xf>
    <xf numFmtId="0" fontId="19" fillId="0" borderId="0" xfId="42"/>
    <xf numFmtId="0" fontId="0" fillId="0" borderId="0" xfId="0" applyAlignment="1">
      <alignment horizontal="left"/>
    </xf>
    <xf numFmtId="0" fontId="0" fillId="33" borderId="0" xfId="0" applyFill="1" applyBorder="1" applyAlignment="1">
      <alignment vertical="center"/>
    </xf>
    <xf numFmtId="0" fontId="18" fillId="33" borderId="0" xfId="0" applyFont="1" applyFill="1" applyAlignment="1">
      <alignment horizontal="center" vertical="center"/>
    </xf>
    <xf numFmtId="0" fontId="18" fillId="33" borderId="0" xfId="0" applyFont="1" applyFill="1" applyAlignment="1">
      <alignment horizontal="left" vertical="center"/>
    </xf>
    <xf numFmtId="0" fontId="18" fillId="33" borderId="0" xfId="0" applyFont="1" applyFill="1" applyAlignment="1">
      <alignment vertical="center"/>
    </xf>
    <xf numFmtId="0" fontId="8" fillId="33" borderId="7" xfId="8" applyFill="1" applyBorder="1" applyAlignment="1">
      <alignment horizontal="center" vertical="center"/>
    </xf>
    <xf numFmtId="0" fontId="8" fillId="33" borderId="0" xfId="8" applyFill="1" applyBorder="1" applyAlignment="1">
      <alignment horizontal="center" vertical="center"/>
    </xf>
    <xf numFmtId="0" fontId="8" fillId="33" borderId="0" xfId="8" applyFill="1" applyBorder="1" applyAlignment="1">
      <alignment horizontal="left" vertical="center"/>
    </xf>
    <xf numFmtId="0" fontId="0" fillId="34" borderId="0" xfId="0" applyFill="1" applyAlignment="1">
      <alignment horizontal="center" vertical="center"/>
    </xf>
    <xf numFmtId="0" fontId="0" fillId="34" borderId="0" xfId="0" applyFill="1" applyAlignment="1">
      <alignment horizontal="left" vertical="center"/>
    </xf>
    <xf numFmtId="0" fontId="0" fillId="34" borderId="0" xfId="0" applyFill="1" applyAlignment="1">
      <alignment vertical="center"/>
    </xf>
    <xf numFmtId="0" fontId="0" fillId="34" borderId="0" xfId="0" applyFill="1"/>
    <xf numFmtId="0" fontId="0" fillId="34" borderId="0" xfId="0" applyFill="1" applyBorder="1" applyAlignment="1">
      <alignment horizontal="left" vertical="center"/>
    </xf>
    <xf numFmtId="0" fontId="0" fillId="34" borderId="0" xfId="0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33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19" fillId="0" borderId="0" xfId="42" applyAlignment="1">
      <alignment horizontal="left" vertical="center"/>
    </xf>
    <xf numFmtId="0" fontId="0" fillId="0" borderId="10" xfId="0" applyBorder="1" applyAlignment="1">
      <alignment wrapText="1"/>
    </xf>
    <xf numFmtId="0" fontId="0" fillId="0" borderId="0" xfId="0" applyAlignment="1">
      <alignment wrapText="1"/>
    </xf>
    <xf numFmtId="0" fontId="0" fillId="34" borderId="0" xfId="0" applyFill="1" applyAlignment="1">
      <alignment wrapText="1"/>
    </xf>
    <xf numFmtId="0" fontId="18" fillId="33" borderId="0" xfId="0" applyFont="1" applyFill="1" applyAlignment="1">
      <alignment wrapText="1"/>
    </xf>
    <xf numFmtId="0" fontId="0" fillId="33" borderId="0" xfId="0" applyFill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1">
    <dxf>
      <fill>
        <patternFill>
          <bgColor rgb="FFC7099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70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uk.farnell.com/nexperia/prtr5v0u2x-215/diode-tvs-dual-sot-143b/dp/1524157RL?st=prtr5v0u2x" TargetMode="External"/><Relationship Id="rId13" Type="http://schemas.openxmlformats.org/officeDocument/2006/relationships/hyperlink" Target="https://uk.farnell.com/multicomp/mchp05w4f3300t5e/res-330r-1-0-25w-0805-thick-film/dp/1576452?st=330r%200805" TargetMode="External"/><Relationship Id="rId18" Type="http://schemas.openxmlformats.org/officeDocument/2006/relationships/hyperlink" Target="https://uk.farnell.com/multicomp/mcwr08x2701ftl/res-2k7-1-0-125w-thick-film/dp/2447627?st=2k7%200805" TargetMode="External"/><Relationship Id="rId26" Type="http://schemas.openxmlformats.org/officeDocument/2006/relationships/hyperlink" Target="https://uk.rs-online.com/web/p/buffers/8270301" TargetMode="External"/><Relationship Id="rId3" Type="http://schemas.openxmlformats.org/officeDocument/2006/relationships/hyperlink" Target="https://uk.farnell.com/avx/08055a101jat2a/cap-100pf-50v-5-c0g-np0-0805/dp/2280669?st=100p%200805" TargetMode="External"/><Relationship Id="rId21" Type="http://schemas.openxmlformats.org/officeDocument/2006/relationships/hyperlink" Target="https://uk.farnell.com/nexperia/hef4094bt/ic-4000-locmos-smd-4094-soic16/dp/1201297?st=4094" TargetMode="External"/><Relationship Id="rId7" Type="http://schemas.openxmlformats.org/officeDocument/2006/relationships/hyperlink" Target="https://uk.farnell.com/nexperia/bzv55-b9v1-115/diode-zener-9-1v-500mw-sod-80c/dp/2319152?st=bzv55b9v1" TargetMode="External"/><Relationship Id="rId12" Type="http://schemas.openxmlformats.org/officeDocument/2006/relationships/hyperlink" Target="https://uk.farnell.com/multicomp/mchp05w4f2201t5e/res-2k2-1-0-25w-0805-thick-film/dp/1576464?st=2k2%200805" TargetMode="External"/><Relationship Id="rId17" Type="http://schemas.openxmlformats.org/officeDocument/2006/relationships/hyperlink" Target="https://uk.farnell.com/multicomp/mcwr08x1002ftl/res-10k-1-0-125w-0805-thick-film/dp/2447553RL?st=10k%200805" TargetMode="External"/><Relationship Id="rId25" Type="http://schemas.openxmlformats.org/officeDocument/2006/relationships/hyperlink" Target="https://uk.farnell.com/on-semiconductor/ncs20074dr2g/op-amp-quad-3mhz-2-8v-us-soic/dp/2774608?st=ncs20074" TargetMode="External"/><Relationship Id="rId2" Type="http://schemas.openxmlformats.org/officeDocument/2006/relationships/hyperlink" Target="https://uk.farnell.com/kemet/edk107m035a9haa/cap-100-f-35v-radial-smd-reel/dp/2068675?st=100uf" TargetMode="External"/><Relationship Id="rId16" Type="http://schemas.openxmlformats.org/officeDocument/2006/relationships/hyperlink" Target="https://uk.farnell.com/walsin/wf08p4700ftl/res-470r-1-0-25w-0805-thick-film/dp/2670094?st=470r%200805" TargetMode="External"/><Relationship Id="rId20" Type="http://schemas.openxmlformats.org/officeDocument/2006/relationships/hyperlink" Target="https://uk.farnell.com/on-semiconductor/ncp1117st33t3g/ic-linear-voltage-regulator/dp/1652366RL?st=ldo" TargetMode="External"/><Relationship Id="rId29" Type="http://schemas.openxmlformats.org/officeDocument/2006/relationships/hyperlink" Target="https://uk.rs-online.com/web/p/schottky-diodes-rectifiers/7805414" TargetMode="External"/><Relationship Id="rId1" Type="http://schemas.openxmlformats.org/officeDocument/2006/relationships/hyperlink" Target="https://uk.farnell.com/kemet/exv106m025a9baa/cap-10-f-25v-radial-smd/dp/2069174?st=10uf" TargetMode="External"/><Relationship Id="rId6" Type="http://schemas.openxmlformats.org/officeDocument/2006/relationships/hyperlink" Target="https://uk.farnell.com/avx/tajr105k020rnj/cap-1-f-20v-10-0805-smd/dp/1432430?st=1u+0805+tantlium" TargetMode="External"/><Relationship Id="rId11" Type="http://schemas.openxmlformats.org/officeDocument/2006/relationships/hyperlink" Target="https://uk.rs-online.com/web/p/ferrite-beads/1048535" TargetMode="External"/><Relationship Id="rId24" Type="http://schemas.openxmlformats.org/officeDocument/2006/relationships/hyperlink" Target="https://uk.farnell.com/nexperia/74hc86d/ic-74hc-cmos-smd-74hc86-soic14/dp/1085331?st=74hc86" TargetMode="External"/><Relationship Id="rId5" Type="http://schemas.openxmlformats.org/officeDocument/2006/relationships/hyperlink" Target="https://uk.farnell.com/multicomp/mc0805n9r0d500ct/cap-9pf-50v-c0g-np0-0805/dp/1759189?st=9pf%200805" TargetMode="External"/><Relationship Id="rId15" Type="http://schemas.openxmlformats.org/officeDocument/2006/relationships/hyperlink" Target="https://uk.farnell.com/te-connectivity/crgh0805f1k0/res-1k-1-0-33w-0805-thick-film/dp/2332071?st=1k%200805" TargetMode="External"/><Relationship Id="rId23" Type="http://schemas.openxmlformats.org/officeDocument/2006/relationships/hyperlink" Target="https://uk.farnell.com/nexperia/hef4081bt/ic-4000-locmos-smd-4081-soic14/dp/1085290?st=4081" TargetMode="External"/><Relationship Id="rId28" Type="http://schemas.openxmlformats.org/officeDocument/2006/relationships/hyperlink" Target="https://uk.farnell.com/kemet/c0805c226m8pactu/cap-22-f-10v-20-x5r-0805/dp/2773239?st=22uf%20mlcc" TargetMode="External"/><Relationship Id="rId10" Type="http://schemas.openxmlformats.org/officeDocument/2006/relationships/hyperlink" Target="https://uk.farnell.com/kingbright/kp-2012seck/led-0805-250mcd-orange/dp/2290332?st=orange%20led%200805" TargetMode="External"/><Relationship Id="rId19" Type="http://schemas.openxmlformats.org/officeDocument/2006/relationships/hyperlink" Target="https://uk.farnell.com/cts/219-3lpstr/dip-switch-0-1a-50vdc-3pos-smd/dp/3778050?st=dipswitches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https://uk.farnell.com/kemet/c0805c472k5ractu/cap-4700pf-50v-10-x7r-0805/dp/1414696?st=4n7%200805" TargetMode="External"/><Relationship Id="rId9" Type="http://schemas.openxmlformats.org/officeDocument/2006/relationships/hyperlink" Target="https://uk.farnell.com/multicomp-pro/mp008292/led-blue-210mcd-475nm-0805/dp/3796324?st=led" TargetMode="External"/><Relationship Id="rId14" Type="http://schemas.openxmlformats.org/officeDocument/2006/relationships/hyperlink" Target="https://uk.farnell.com/te-connectivity/crgcq0805f1m0/res-1m-1-0805-thick-film/dp/2861558?st=1m%200805" TargetMode="External"/><Relationship Id="rId22" Type="http://schemas.openxmlformats.org/officeDocument/2006/relationships/hyperlink" Target="https://uk.farnell.com/nexperia/hef4069ubt/ic-4000-locmos-smd-4069-soic14/dp/1201295?st=4069" TargetMode="External"/><Relationship Id="rId27" Type="http://schemas.openxmlformats.org/officeDocument/2006/relationships/hyperlink" Target="https://uk.farnell.com/murata/grm21bc81c106ke15l/cap-10-f-16v-10-x6s-0805/dp/1907513?ICID=I-RP-STM7REC-0" TargetMode="External"/><Relationship Id="rId30" Type="http://schemas.openxmlformats.org/officeDocument/2006/relationships/hyperlink" Target="https://uk.farnell.com/abracon/asek-32-768khz-lrt/osc-32-768khz-3-2-x-2-5mm-lvcmos/dp/24679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V60"/>
  <sheetViews>
    <sheetView tabSelected="1" zoomScaleNormal="100" workbookViewId="0">
      <pane ySplit="1" topLeftCell="A20" activePane="bottomLeft" state="frozen"/>
      <selection pane="bottomLeft" activeCell="E9" sqref="E9"/>
    </sheetView>
  </sheetViews>
  <sheetFormatPr defaultRowHeight="15" x14ac:dyDescent="0.25"/>
  <cols>
    <col min="1" max="1" width="13.42578125" style="52" customWidth="1"/>
    <col min="2" max="2" width="10.140625" style="2" customWidth="1"/>
    <col min="3" max="3" width="13.28515625" style="6" customWidth="1"/>
    <col min="4" max="4" width="26.5703125" style="6" customWidth="1"/>
    <col min="5" max="5" width="30.7109375" style="5" customWidth="1"/>
    <col min="6" max="6" width="17.7109375" style="5" customWidth="1"/>
    <col min="7" max="7" width="20.7109375" style="2" customWidth="1"/>
    <col min="8" max="8" width="5.140625" style="2" customWidth="1"/>
    <col min="9" max="9" width="13.7109375" style="2" bestFit="1" customWidth="1"/>
    <col min="10" max="10" width="9.7109375" style="2" bestFit="1" customWidth="1"/>
    <col min="11" max="11" width="11.140625" style="2" bestFit="1" customWidth="1"/>
    <col min="12" max="13" width="9.7109375" style="2" customWidth="1"/>
    <col min="14" max="14" width="9.140625" style="2"/>
    <col min="15" max="15" width="23" style="2" customWidth="1"/>
    <col min="16" max="16" width="2.28515625" style="2" customWidth="1"/>
    <col min="17" max="17" width="9" style="2" customWidth="1"/>
    <col min="18" max="18" width="15.140625" style="2" customWidth="1"/>
    <col min="19" max="19" width="15.140625" style="6" customWidth="1"/>
    <col min="20" max="20" width="4.42578125" style="2" customWidth="1"/>
    <col min="21" max="21" width="15.140625" style="2" customWidth="1"/>
    <col min="22" max="23" width="9.140625" style="2"/>
    <col min="24" max="24" width="28.85546875" style="6" bestFit="1" customWidth="1"/>
    <col min="48" max="48" width="12.85546875" style="2" bestFit="1" customWidth="1"/>
  </cols>
  <sheetData>
    <row r="1" spans="1:48" s="1" customFormat="1" ht="15.75" thickBot="1" x14ac:dyDescent="0.3">
      <c r="A1" s="51" t="s">
        <v>0</v>
      </c>
      <c r="B1" s="3" t="s">
        <v>1</v>
      </c>
      <c r="C1" s="21" t="s">
        <v>2</v>
      </c>
      <c r="D1" s="21" t="s">
        <v>3</v>
      </c>
      <c r="E1" s="8" t="s">
        <v>4</v>
      </c>
      <c r="F1" s="8" t="s">
        <v>5</v>
      </c>
      <c r="G1" s="3" t="s">
        <v>6</v>
      </c>
      <c r="H1" s="3"/>
      <c r="I1" s="3" t="s">
        <v>112</v>
      </c>
      <c r="J1" s="3" t="s">
        <v>120</v>
      </c>
      <c r="K1" s="3" t="s">
        <v>118</v>
      </c>
      <c r="L1" s="3"/>
      <c r="M1" s="3" t="s">
        <v>116</v>
      </c>
      <c r="N1" s="3" t="s">
        <v>110</v>
      </c>
      <c r="O1" s="3" t="s">
        <v>115</v>
      </c>
      <c r="P1" s="3"/>
      <c r="Q1" s="3" t="s">
        <v>121</v>
      </c>
      <c r="R1" s="14"/>
      <c r="S1" s="21" t="s">
        <v>131</v>
      </c>
      <c r="T1" s="3"/>
      <c r="U1" s="3" t="s">
        <v>132</v>
      </c>
      <c r="V1" s="3"/>
      <c r="W1" s="3"/>
      <c r="X1" s="47" t="s">
        <v>182</v>
      </c>
      <c r="AV1" s="3" t="s">
        <v>111</v>
      </c>
    </row>
    <row r="2" spans="1:48" s="44" customFormat="1" x14ac:dyDescent="0.25">
      <c r="A2" s="53"/>
      <c r="B2" s="41"/>
      <c r="C2" s="42"/>
      <c r="D2" s="42"/>
      <c r="E2" s="43"/>
      <c r="F2" s="43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5"/>
      <c r="T2" s="46"/>
      <c r="U2" s="46"/>
      <c r="V2" s="46"/>
      <c r="W2" s="46" t="s">
        <v>133</v>
      </c>
      <c r="X2" s="42"/>
      <c r="AV2" s="41"/>
    </row>
    <row r="3" spans="1:48" x14ac:dyDescent="0.25">
      <c r="A3" s="52" t="s">
        <v>185</v>
      </c>
      <c r="B3" s="2">
        <v>2</v>
      </c>
      <c r="C3" s="6" t="s">
        <v>7</v>
      </c>
      <c r="D3" s="6" t="s">
        <v>8</v>
      </c>
      <c r="E3" s="5" t="s">
        <v>9</v>
      </c>
      <c r="F3" s="5" t="s">
        <v>10</v>
      </c>
      <c r="G3" s="2" t="s">
        <v>119</v>
      </c>
      <c r="I3" s="2">
        <f t="shared" ref="I3:I9" si="0">B3*AV3</f>
        <v>160</v>
      </c>
      <c r="J3" s="2">
        <v>85</v>
      </c>
      <c r="K3" s="2">
        <v>31340</v>
      </c>
      <c r="M3" s="2" t="s">
        <v>114</v>
      </c>
      <c r="N3" s="2" t="s">
        <v>114</v>
      </c>
      <c r="O3" s="2" t="s">
        <v>114</v>
      </c>
      <c r="Q3" s="2">
        <f t="shared" ref="Q3:Q22" si="1">J3-I3</f>
        <v>-75</v>
      </c>
      <c r="S3" s="33">
        <v>1907513</v>
      </c>
      <c r="T3" s="28"/>
      <c r="U3" s="32" t="s">
        <v>170</v>
      </c>
      <c r="V3" s="11"/>
      <c r="W3" s="11" t="s">
        <v>133</v>
      </c>
      <c r="AV3" s="2">
        <v>80</v>
      </c>
    </row>
    <row r="4" spans="1:48" x14ac:dyDescent="0.25">
      <c r="A4" s="52" t="s">
        <v>122</v>
      </c>
      <c r="B4" s="2">
        <v>2</v>
      </c>
      <c r="C4" s="6" t="s">
        <v>11</v>
      </c>
      <c r="D4" s="6" t="s">
        <v>8</v>
      </c>
      <c r="E4" s="5" t="s">
        <v>9</v>
      </c>
      <c r="F4" s="5" t="s">
        <v>10</v>
      </c>
      <c r="G4" s="2" t="s">
        <v>119</v>
      </c>
      <c r="I4" s="2">
        <f t="shared" si="0"/>
        <v>160</v>
      </c>
      <c r="J4" s="2">
        <v>170</v>
      </c>
      <c r="K4" s="2">
        <v>31258</v>
      </c>
      <c r="M4" s="2" t="s">
        <v>114</v>
      </c>
      <c r="N4" s="2" t="s">
        <v>114</v>
      </c>
      <c r="O4" s="2" t="s">
        <v>114</v>
      </c>
      <c r="Q4" s="2">
        <f t="shared" si="1"/>
        <v>10</v>
      </c>
      <c r="S4" s="23">
        <v>2280669</v>
      </c>
      <c r="T4" s="28"/>
      <c r="U4" s="9" t="s">
        <v>136</v>
      </c>
      <c r="V4" s="11"/>
      <c r="W4" s="11" t="s">
        <v>133</v>
      </c>
      <c r="AV4" s="2">
        <v>80</v>
      </c>
    </row>
    <row r="5" spans="1:48" x14ac:dyDescent="0.25">
      <c r="A5" s="52" t="s">
        <v>186</v>
      </c>
      <c r="B5" s="2">
        <v>2</v>
      </c>
      <c r="C5" s="6" t="s">
        <v>13</v>
      </c>
      <c r="D5" s="6" t="s">
        <v>8</v>
      </c>
      <c r="E5" s="5" t="s">
        <v>9</v>
      </c>
      <c r="F5" s="5" t="s">
        <v>10</v>
      </c>
      <c r="G5" s="2" t="s">
        <v>119</v>
      </c>
      <c r="I5" s="2">
        <f t="shared" si="0"/>
        <v>160</v>
      </c>
      <c r="J5" s="2">
        <v>85</v>
      </c>
      <c r="K5" s="2">
        <v>31340</v>
      </c>
      <c r="M5" s="2" t="s">
        <v>114</v>
      </c>
      <c r="N5" s="2" t="s">
        <v>114</v>
      </c>
      <c r="O5" s="2" t="s">
        <v>114</v>
      </c>
      <c r="Q5" s="2">
        <f t="shared" si="1"/>
        <v>-75</v>
      </c>
      <c r="S5" s="33">
        <v>2773239</v>
      </c>
      <c r="T5" s="11"/>
      <c r="U5" s="32" t="s">
        <v>171</v>
      </c>
      <c r="V5" s="11"/>
      <c r="W5" s="11" t="s">
        <v>133</v>
      </c>
      <c r="AV5" s="2">
        <v>80</v>
      </c>
    </row>
    <row r="6" spans="1:48" x14ac:dyDescent="0.25">
      <c r="A6" s="52" t="s">
        <v>14</v>
      </c>
      <c r="B6" s="2">
        <v>2</v>
      </c>
      <c r="C6" s="6" t="s">
        <v>15</v>
      </c>
      <c r="D6" s="6" t="s">
        <v>8</v>
      </c>
      <c r="E6" s="5" t="s">
        <v>9</v>
      </c>
      <c r="F6" s="5" t="s">
        <v>10</v>
      </c>
      <c r="G6" s="2" t="s">
        <v>119</v>
      </c>
      <c r="I6" s="2">
        <f t="shared" si="0"/>
        <v>160</v>
      </c>
      <c r="J6" s="2">
        <v>170</v>
      </c>
      <c r="K6" s="2">
        <v>31258</v>
      </c>
      <c r="M6" s="2" t="s">
        <v>114</v>
      </c>
      <c r="N6" s="2" t="s">
        <v>114</v>
      </c>
      <c r="O6" s="2" t="s">
        <v>114</v>
      </c>
      <c r="Q6" s="2">
        <f t="shared" si="1"/>
        <v>10</v>
      </c>
      <c r="S6" s="24">
        <v>1414696</v>
      </c>
      <c r="T6" s="29"/>
      <c r="U6" s="19" t="s">
        <v>138</v>
      </c>
      <c r="V6" s="11"/>
      <c r="W6" s="11" t="s">
        <v>133</v>
      </c>
      <c r="AV6" s="2">
        <v>80</v>
      </c>
    </row>
    <row r="7" spans="1:48" ht="30" x14ac:dyDescent="0.25">
      <c r="A7" s="52" t="s">
        <v>16</v>
      </c>
      <c r="B7" s="2">
        <v>4</v>
      </c>
      <c r="C7" s="6" t="s">
        <v>17</v>
      </c>
      <c r="D7" s="6" t="s">
        <v>18</v>
      </c>
      <c r="E7" s="5" t="s">
        <v>9</v>
      </c>
      <c r="F7" s="5" t="s">
        <v>10</v>
      </c>
      <c r="G7" s="2" t="s">
        <v>119</v>
      </c>
      <c r="I7" s="2">
        <f t="shared" si="0"/>
        <v>320</v>
      </c>
      <c r="J7" s="2">
        <v>340</v>
      </c>
      <c r="K7" s="2">
        <v>31258</v>
      </c>
      <c r="M7" s="2" t="s">
        <v>114</v>
      </c>
      <c r="N7" s="2" t="s">
        <v>114</v>
      </c>
      <c r="O7" s="2" t="s">
        <v>114</v>
      </c>
      <c r="Q7" s="2">
        <f t="shared" si="1"/>
        <v>20</v>
      </c>
      <c r="S7" s="25">
        <v>1759189</v>
      </c>
      <c r="T7" s="30"/>
      <c r="U7" s="19" t="s">
        <v>139</v>
      </c>
      <c r="W7" s="2" t="s">
        <v>133</v>
      </c>
      <c r="AV7" s="2">
        <v>80</v>
      </c>
    </row>
    <row r="8" spans="1:48" x14ac:dyDescent="0.25">
      <c r="A8" s="52" t="s">
        <v>19</v>
      </c>
      <c r="B8" s="2">
        <v>2</v>
      </c>
      <c r="C8" s="6" t="s">
        <v>20</v>
      </c>
      <c r="D8" s="6" t="s">
        <v>8</v>
      </c>
      <c r="E8" s="5" t="s">
        <v>9</v>
      </c>
      <c r="F8" s="5" t="s">
        <v>194</v>
      </c>
      <c r="G8" s="2" t="s">
        <v>119</v>
      </c>
      <c r="I8" s="2">
        <f t="shared" si="0"/>
        <v>160</v>
      </c>
      <c r="J8" s="2">
        <v>174</v>
      </c>
      <c r="K8" s="2">
        <v>31258</v>
      </c>
      <c r="M8" s="2" t="s">
        <v>114</v>
      </c>
      <c r="N8" s="2" t="s">
        <v>114</v>
      </c>
      <c r="O8" s="2" t="s">
        <v>114</v>
      </c>
      <c r="Q8" s="2">
        <f t="shared" si="1"/>
        <v>14</v>
      </c>
      <c r="S8" s="25">
        <v>1432430</v>
      </c>
      <c r="T8" s="30"/>
      <c r="U8" s="19" t="s">
        <v>140</v>
      </c>
      <c r="W8" s="2" t="s">
        <v>133</v>
      </c>
      <c r="AV8" s="2">
        <v>80</v>
      </c>
    </row>
    <row r="9" spans="1:48" ht="150" x14ac:dyDescent="0.25">
      <c r="A9" s="52" t="s">
        <v>123</v>
      </c>
      <c r="B9" s="2">
        <v>28</v>
      </c>
      <c r="C9" s="6" t="s">
        <v>12</v>
      </c>
      <c r="D9" s="6" t="s">
        <v>8</v>
      </c>
      <c r="E9" s="5" t="s">
        <v>9</v>
      </c>
      <c r="F9" s="5" t="s">
        <v>10</v>
      </c>
      <c r="G9" s="2" t="s">
        <v>119</v>
      </c>
      <c r="I9" s="2">
        <f t="shared" si="0"/>
        <v>2240</v>
      </c>
      <c r="J9" s="2">
        <v>2400</v>
      </c>
      <c r="K9" s="2">
        <v>31258</v>
      </c>
      <c r="M9" s="2" t="s">
        <v>114</v>
      </c>
      <c r="N9" s="2" t="s">
        <v>114</v>
      </c>
      <c r="O9" s="2" t="s">
        <v>114</v>
      </c>
      <c r="Q9" s="2">
        <f t="shared" si="1"/>
        <v>160</v>
      </c>
      <c r="S9" s="26">
        <v>2280669</v>
      </c>
      <c r="T9" s="13"/>
      <c r="U9" s="9" t="s">
        <v>137</v>
      </c>
      <c r="W9" s="2" t="s">
        <v>133</v>
      </c>
      <c r="AV9" s="2">
        <v>80</v>
      </c>
    </row>
    <row r="10" spans="1:48" s="44" customFormat="1" x14ac:dyDescent="0.25">
      <c r="A10" s="53"/>
      <c r="B10" s="41"/>
      <c r="C10" s="42"/>
      <c r="D10" s="42"/>
      <c r="E10" s="43"/>
      <c r="F10" s="43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2"/>
      <c r="T10" s="41"/>
      <c r="U10" s="41"/>
      <c r="V10" s="41"/>
      <c r="W10" s="41" t="s">
        <v>133</v>
      </c>
      <c r="X10" s="42"/>
      <c r="AV10" s="41"/>
    </row>
    <row r="11" spans="1:48" x14ac:dyDescent="0.25">
      <c r="A11" s="52" t="s">
        <v>21</v>
      </c>
      <c r="B11" s="2">
        <v>1</v>
      </c>
      <c r="C11" s="6" t="s">
        <v>22</v>
      </c>
      <c r="D11" s="6" t="s">
        <v>22</v>
      </c>
      <c r="E11" s="5" t="s">
        <v>23</v>
      </c>
      <c r="F11" s="5" t="s">
        <v>24</v>
      </c>
      <c r="G11" s="2" t="s">
        <v>119</v>
      </c>
      <c r="I11" s="2">
        <f t="shared" ref="I11:I16" si="2">B11*AV11</f>
        <v>80</v>
      </c>
      <c r="J11" s="2">
        <v>90</v>
      </c>
      <c r="K11" s="2">
        <v>31258</v>
      </c>
      <c r="M11" s="2" t="s">
        <v>114</v>
      </c>
      <c r="N11" s="2" t="s">
        <v>114</v>
      </c>
      <c r="Q11" s="2">
        <f t="shared" si="1"/>
        <v>10</v>
      </c>
      <c r="S11" s="26">
        <v>2319152</v>
      </c>
      <c r="T11" s="13"/>
      <c r="U11" s="9" t="s">
        <v>141</v>
      </c>
      <c r="W11" s="2" t="s">
        <v>133</v>
      </c>
      <c r="AV11" s="2">
        <v>80</v>
      </c>
    </row>
    <row r="12" spans="1:48" x14ac:dyDescent="0.25">
      <c r="A12" s="52" t="s">
        <v>25</v>
      </c>
      <c r="B12" s="2">
        <v>2</v>
      </c>
      <c r="C12" s="6" t="s">
        <v>26</v>
      </c>
      <c r="D12" s="6" t="s">
        <v>26</v>
      </c>
      <c r="E12" s="5" t="s">
        <v>27</v>
      </c>
      <c r="F12" s="5" t="s">
        <v>28</v>
      </c>
      <c r="G12" s="2" t="s">
        <v>113</v>
      </c>
      <c r="I12" s="2">
        <f t="shared" si="2"/>
        <v>160</v>
      </c>
      <c r="J12" s="2">
        <v>200</v>
      </c>
      <c r="K12" s="2">
        <v>31361</v>
      </c>
      <c r="M12" s="2" t="s">
        <v>114</v>
      </c>
      <c r="N12" s="2" t="s">
        <v>114</v>
      </c>
      <c r="O12" s="4">
        <v>44718</v>
      </c>
      <c r="Q12" s="2">
        <f t="shared" si="1"/>
        <v>40</v>
      </c>
      <c r="S12" s="6" t="s">
        <v>176</v>
      </c>
      <c r="U12" s="32" t="s">
        <v>173</v>
      </c>
      <c r="W12" s="2" t="s">
        <v>133</v>
      </c>
      <c r="AV12" s="2">
        <v>80</v>
      </c>
    </row>
    <row r="13" spans="1:48" x14ac:dyDescent="0.25">
      <c r="A13" s="52" t="s">
        <v>29</v>
      </c>
      <c r="B13" s="2">
        <v>2</v>
      </c>
      <c r="C13" s="6" t="s">
        <v>30</v>
      </c>
      <c r="D13" s="6" t="s">
        <v>31</v>
      </c>
      <c r="E13" s="5" t="s">
        <v>187</v>
      </c>
      <c r="F13" s="5" t="s">
        <v>32</v>
      </c>
      <c r="G13" s="2" t="s">
        <v>119</v>
      </c>
      <c r="I13" s="2">
        <f t="shared" si="2"/>
        <v>160</v>
      </c>
      <c r="J13" s="2">
        <v>170</v>
      </c>
      <c r="K13" s="2">
        <v>31258</v>
      </c>
      <c r="M13" s="2" t="s">
        <v>114</v>
      </c>
      <c r="N13" s="2" t="s">
        <v>114</v>
      </c>
      <c r="O13" s="2" t="s">
        <v>114</v>
      </c>
      <c r="Q13" s="2">
        <f t="shared" si="1"/>
        <v>10</v>
      </c>
      <c r="S13" s="25">
        <v>1524157</v>
      </c>
      <c r="T13" s="30"/>
      <c r="U13" s="19" t="s">
        <v>142</v>
      </c>
      <c r="W13" s="2" t="s">
        <v>133</v>
      </c>
      <c r="AV13" s="2">
        <v>80</v>
      </c>
    </row>
    <row r="14" spans="1:48" x14ac:dyDescent="0.25">
      <c r="A14" s="52" t="s">
        <v>33</v>
      </c>
      <c r="B14" s="2">
        <v>1</v>
      </c>
      <c r="C14" s="6" t="s">
        <v>143</v>
      </c>
      <c r="D14" s="6" t="s">
        <v>124</v>
      </c>
      <c r="E14" s="5" t="s">
        <v>178</v>
      </c>
      <c r="F14" s="5" t="s">
        <v>35</v>
      </c>
      <c r="G14" s="2" t="s">
        <v>119</v>
      </c>
      <c r="I14" s="2">
        <f t="shared" si="2"/>
        <v>80</v>
      </c>
      <c r="J14" s="2">
        <v>260</v>
      </c>
      <c r="K14" s="2">
        <v>31258</v>
      </c>
      <c r="M14" s="2" t="s">
        <v>114</v>
      </c>
      <c r="N14" s="2" t="s">
        <v>114</v>
      </c>
      <c r="O14" s="2" t="s">
        <v>114</v>
      </c>
      <c r="Q14" s="2">
        <f t="shared" si="1"/>
        <v>180</v>
      </c>
      <c r="S14" s="25">
        <v>3796324</v>
      </c>
      <c r="T14" s="20"/>
      <c r="U14" s="19" t="s">
        <v>146</v>
      </c>
      <c r="W14" s="2" t="s">
        <v>133</v>
      </c>
      <c r="AV14" s="2">
        <v>80</v>
      </c>
    </row>
    <row r="15" spans="1:48" x14ac:dyDescent="0.25">
      <c r="A15" s="52" t="s">
        <v>36</v>
      </c>
      <c r="B15" s="2">
        <v>1</v>
      </c>
      <c r="C15" s="6" t="s">
        <v>144</v>
      </c>
      <c r="D15" s="6" t="s">
        <v>125</v>
      </c>
      <c r="E15" s="5" t="s">
        <v>178</v>
      </c>
      <c r="F15" s="5" t="s">
        <v>35</v>
      </c>
      <c r="G15" s="2" t="s">
        <v>119</v>
      </c>
      <c r="I15" s="2">
        <f t="shared" si="2"/>
        <v>80</v>
      </c>
      <c r="J15" s="2">
        <v>100</v>
      </c>
      <c r="K15" s="2">
        <v>31258</v>
      </c>
      <c r="M15" s="2" t="s">
        <v>114</v>
      </c>
      <c r="N15" s="2" t="s">
        <v>114</v>
      </c>
      <c r="O15" s="2" t="s">
        <v>114</v>
      </c>
      <c r="Q15" s="2">
        <f t="shared" si="1"/>
        <v>20</v>
      </c>
      <c r="S15" s="26">
        <v>2290332</v>
      </c>
      <c r="T15" s="10"/>
      <c r="U15" s="9" t="s">
        <v>147</v>
      </c>
      <c r="W15" s="2" t="s">
        <v>133</v>
      </c>
      <c r="AV15" s="2">
        <v>80</v>
      </c>
    </row>
    <row r="16" spans="1:48" x14ac:dyDescent="0.25">
      <c r="A16" s="52" t="s">
        <v>37</v>
      </c>
      <c r="B16" s="2">
        <v>2</v>
      </c>
      <c r="C16" s="6" t="s">
        <v>145</v>
      </c>
      <c r="D16" s="6" t="s">
        <v>34</v>
      </c>
      <c r="E16" s="5" t="s">
        <v>178</v>
      </c>
      <c r="F16" s="5" t="s">
        <v>35</v>
      </c>
      <c r="G16" s="2" t="s">
        <v>119</v>
      </c>
      <c r="I16" s="2">
        <f t="shared" si="2"/>
        <v>160</v>
      </c>
      <c r="J16" s="2">
        <v>170</v>
      </c>
      <c r="K16" s="2">
        <v>31340</v>
      </c>
      <c r="M16" s="2" t="s">
        <v>114</v>
      </c>
      <c r="N16" s="2" t="s">
        <v>114</v>
      </c>
      <c r="O16" s="2" t="s">
        <v>114</v>
      </c>
      <c r="Q16" s="2">
        <f t="shared" si="1"/>
        <v>10</v>
      </c>
      <c r="S16" s="33">
        <v>1581241</v>
      </c>
      <c r="T16" s="5"/>
      <c r="U16" t="s">
        <v>172</v>
      </c>
      <c r="W16" s="2" t="s">
        <v>133</v>
      </c>
      <c r="AV16" s="2">
        <v>80</v>
      </c>
    </row>
    <row r="17" spans="1:48" s="44" customFormat="1" x14ac:dyDescent="0.25">
      <c r="A17" s="53"/>
      <c r="B17" s="41"/>
      <c r="C17" s="42"/>
      <c r="D17" s="42"/>
      <c r="E17" s="43"/>
      <c r="F17" s="43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2"/>
      <c r="T17" s="41"/>
      <c r="U17" s="41"/>
      <c r="V17" s="41"/>
      <c r="W17" s="41" t="s">
        <v>133</v>
      </c>
      <c r="X17" s="42"/>
      <c r="AV17" s="41"/>
    </row>
    <row r="18" spans="1:48" ht="45" x14ac:dyDescent="0.25">
      <c r="A18" s="52" t="s">
        <v>38</v>
      </c>
      <c r="B18" s="2">
        <v>8</v>
      </c>
      <c r="C18" s="6" t="s">
        <v>7</v>
      </c>
      <c r="D18" s="6" t="s">
        <v>7</v>
      </c>
      <c r="E18" s="10" t="s">
        <v>179</v>
      </c>
      <c r="F18" s="5" t="s">
        <v>39</v>
      </c>
      <c r="G18" s="2" t="s">
        <v>119</v>
      </c>
      <c r="I18" s="2">
        <f>B18*AV18</f>
        <v>640</v>
      </c>
      <c r="J18" s="2">
        <v>670</v>
      </c>
      <c r="K18" s="2">
        <v>31258</v>
      </c>
      <c r="M18" s="2" t="s">
        <v>114</v>
      </c>
      <c r="N18" s="2" t="s">
        <v>114</v>
      </c>
      <c r="O18" s="2" t="s">
        <v>114</v>
      </c>
      <c r="Q18" s="2">
        <f t="shared" si="1"/>
        <v>30</v>
      </c>
      <c r="S18" s="22">
        <v>2069174</v>
      </c>
      <c r="T18" s="11"/>
      <c r="U18" s="12" t="s">
        <v>134</v>
      </c>
      <c r="V18" s="11"/>
      <c r="W18" s="11" t="s">
        <v>133</v>
      </c>
      <c r="X18" s="22"/>
      <c r="AV18" s="2">
        <v>80</v>
      </c>
    </row>
    <row r="19" spans="1:48" ht="30" x14ac:dyDescent="0.25">
      <c r="A19" s="52" t="s">
        <v>40</v>
      </c>
      <c r="B19" s="2">
        <v>3</v>
      </c>
      <c r="C19" s="6" t="s">
        <v>41</v>
      </c>
      <c r="D19" s="6" t="s">
        <v>41</v>
      </c>
      <c r="E19" s="20" t="s">
        <v>180</v>
      </c>
      <c r="F19" s="5" t="s">
        <v>39</v>
      </c>
      <c r="G19" s="2" t="s">
        <v>119</v>
      </c>
      <c r="I19" s="2">
        <f>B19*AV19</f>
        <v>240</v>
      </c>
      <c r="J19" s="2">
        <v>252</v>
      </c>
      <c r="K19" s="2">
        <v>31258</v>
      </c>
      <c r="M19" s="2" t="s">
        <v>114</v>
      </c>
      <c r="N19" s="2" t="s">
        <v>114</v>
      </c>
      <c r="O19" s="2" t="s">
        <v>195</v>
      </c>
      <c r="Q19" s="2">
        <f t="shared" si="1"/>
        <v>12</v>
      </c>
      <c r="S19" s="25">
        <v>2068675</v>
      </c>
      <c r="T19" s="30"/>
      <c r="U19" s="19" t="s">
        <v>135</v>
      </c>
      <c r="W19" s="2" t="s">
        <v>133</v>
      </c>
      <c r="AV19" s="2">
        <v>80</v>
      </c>
    </row>
    <row r="20" spans="1:48" s="44" customFormat="1" x14ac:dyDescent="0.25">
      <c r="A20" s="53"/>
      <c r="B20" s="41"/>
      <c r="C20" s="42"/>
      <c r="D20" s="42"/>
      <c r="E20" s="43"/>
      <c r="F20" s="43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2"/>
      <c r="T20" s="41"/>
      <c r="U20" s="41"/>
      <c r="V20" s="41"/>
      <c r="W20" s="41" t="s">
        <v>133</v>
      </c>
      <c r="X20" s="42"/>
      <c r="AV20" s="41"/>
    </row>
    <row r="21" spans="1:48" s="44" customFormat="1" x14ac:dyDescent="0.25">
      <c r="A21" s="53"/>
      <c r="B21" s="41"/>
      <c r="C21" s="42"/>
      <c r="D21" s="42"/>
      <c r="E21" s="43"/>
      <c r="F21" s="43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2"/>
      <c r="T21" s="41"/>
      <c r="U21" s="41"/>
      <c r="V21" s="41"/>
      <c r="W21" s="41" t="s">
        <v>133</v>
      </c>
      <c r="X21" s="42"/>
      <c r="AV21" s="41"/>
    </row>
    <row r="22" spans="1:48" x14ac:dyDescent="0.25">
      <c r="A22" s="52" t="s">
        <v>42</v>
      </c>
      <c r="B22" s="2">
        <v>2</v>
      </c>
      <c r="C22" s="6" t="s">
        <v>43</v>
      </c>
      <c r="D22" s="6" t="s">
        <v>44</v>
      </c>
      <c r="E22" s="5" t="s">
        <v>45</v>
      </c>
      <c r="F22" s="5" t="s">
        <v>46</v>
      </c>
      <c r="G22" s="2" t="s">
        <v>113</v>
      </c>
      <c r="I22" s="2">
        <f>B22*AV22</f>
        <v>160</v>
      </c>
      <c r="J22" s="2">
        <v>200</v>
      </c>
      <c r="K22" s="2">
        <v>31244</v>
      </c>
      <c r="M22" s="2" t="s">
        <v>114</v>
      </c>
      <c r="N22" s="2" t="s">
        <v>114</v>
      </c>
      <c r="O22" s="2" t="s">
        <v>114</v>
      </c>
      <c r="Q22" s="2">
        <f t="shared" si="1"/>
        <v>40</v>
      </c>
      <c r="S22" s="26" t="s">
        <v>148</v>
      </c>
      <c r="T22" s="10"/>
      <c r="U22" s="9" t="s">
        <v>149</v>
      </c>
      <c r="W22" s="2" t="s">
        <v>133</v>
      </c>
      <c r="AV22" s="2">
        <v>80</v>
      </c>
    </row>
    <row r="23" spans="1:48" s="44" customFormat="1" x14ac:dyDescent="0.25">
      <c r="A23" s="53"/>
      <c r="B23" s="41"/>
      <c r="C23" s="42"/>
      <c r="D23" s="42"/>
      <c r="E23" s="43"/>
      <c r="F23" s="43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2"/>
      <c r="T23" s="41"/>
      <c r="U23" s="41"/>
      <c r="V23" s="41"/>
      <c r="W23" s="41" t="s">
        <v>133</v>
      </c>
      <c r="X23" s="42"/>
      <c r="AV23" s="41"/>
    </row>
    <row r="24" spans="1:48" s="44" customFormat="1" x14ac:dyDescent="0.25">
      <c r="A24" s="53"/>
      <c r="B24" s="41"/>
      <c r="C24" s="42"/>
      <c r="D24" s="42"/>
      <c r="E24" s="43"/>
      <c r="F24" s="43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2"/>
      <c r="T24" s="41"/>
      <c r="U24" s="41"/>
      <c r="V24" s="41"/>
      <c r="W24" s="41" t="s">
        <v>133</v>
      </c>
      <c r="X24" s="42"/>
      <c r="AV24" s="41"/>
    </row>
    <row r="25" spans="1:48" x14ac:dyDescent="0.25">
      <c r="A25" s="52" t="s">
        <v>47</v>
      </c>
      <c r="B25" s="2">
        <v>2</v>
      </c>
      <c r="C25" s="6" t="s">
        <v>48</v>
      </c>
      <c r="D25" s="6" t="s">
        <v>49</v>
      </c>
      <c r="E25" s="5" t="s">
        <v>50</v>
      </c>
      <c r="F25" s="5" t="s">
        <v>51</v>
      </c>
      <c r="G25" s="2" t="s">
        <v>119</v>
      </c>
      <c r="I25" s="2">
        <f t="shared" ref="I25:I31" si="3">B25*AV25</f>
        <v>160</v>
      </c>
      <c r="J25" s="2">
        <v>200</v>
      </c>
      <c r="K25" s="2">
        <v>31258</v>
      </c>
      <c r="M25" s="2" t="s">
        <v>114</v>
      </c>
      <c r="N25" s="2" t="s">
        <v>114</v>
      </c>
      <c r="O25" s="2" t="s">
        <v>114</v>
      </c>
      <c r="Q25" s="2">
        <f t="shared" ref="Q25:Q29" si="4">J25-I25</f>
        <v>40</v>
      </c>
      <c r="S25" s="6">
        <v>1576464</v>
      </c>
      <c r="T25" s="5"/>
      <c r="U25" s="15" t="s">
        <v>151</v>
      </c>
      <c r="W25" s="2" t="s">
        <v>133</v>
      </c>
      <c r="AV25" s="2">
        <v>80</v>
      </c>
    </row>
    <row r="26" spans="1:48" ht="30" x14ac:dyDescent="0.25">
      <c r="A26" s="52" t="s">
        <v>52</v>
      </c>
      <c r="B26" s="2">
        <v>7</v>
      </c>
      <c r="C26" s="6" t="s">
        <v>53</v>
      </c>
      <c r="D26" s="6" t="s">
        <v>49</v>
      </c>
      <c r="E26" s="5" t="s">
        <v>50</v>
      </c>
      <c r="F26" s="5" t="s">
        <v>51</v>
      </c>
      <c r="G26" s="2" t="s">
        <v>119</v>
      </c>
      <c r="I26" s="2">
        <f t="shared" si="3"/>
        <v>560</v>
      </c>
      <c r="J26" s="2">
        <v>590</v>
      </c>
      <c r="K26" s="2">
        <v>31258</v>
      </c>
      <c r="L26" s="2">
        <v>31340</v>
      </c>
      <c r="M26" s="2" t="s">
        <v>114</v>
      </c>
      <c r="N26" s="2" t="s">
        <v>128</v>
      </c>
      <c r="O26" s="2" t="s">
        <v>128</v>
      </c>
      <c r="Q26" s="2">
        <f t="shared" si="4"/>
        <v>30</v>
      </c>
      <c r="S26" s="6">
        <v>1576452</v>
      </c>
      <c r="T26" s="5"/>
      <c r="U26" s="15" t="s">
        <v>152</v>
      </c>
      <c r="W26" s="2" t="s">
        <v>133</v>
      </c>
      <c r="AV26" s="2">
        <v>80</v>
      </c>
    </row>
    <row r="27" spans="1:48" x14ac:dyDescent="0.25">
      <c r="A27" s="52" t="s">
        <v>54</v>
      </c>
      <c r="B27" s="2">
        <v>3</v>
      </c>
      <c r="C27" s="6" t="s">
        <v>55</v>
      </c>
      <c r="D27" s="6" t="s">
        <v>49</v>
      </c>
      <c r="E27" s="5" t="s">
        <v>50</v>
      </c>
      <c r="F27" s="5" t="s">
        <v>51</v>
      </c>
      <c r="G27" s="2" t="s">
        <v>119</v>
      </c>
      <c r="I27" s="2">
        <f t="shared" si="3"/>
        <v>240</v>
      </c>
      <c r="J27" s="2">
        <v>250</v>
      </c>
      <c r="K27" s="2">
        <v>31258</v>
      </c>
      <c r="M27" s="2" t="s">
        <v>114</v>
      </c>
      <c r="N27" s="2" t="s">
        <v>114</v>
      </c>
      <c r="O27" s="2" t="s">
        <v>114</v>
      </c>
      <c r="Q27" s="2">
        <f t="shared" si="4"/>
        <v>10</v>
      </c>
      <c r="S27" s="6">
        <v>2861558</v>
      </c>
      <c r="T27" s="5"/>
      <c r="U27" s="15" t="s">
        <v>153</v>
      </c>
      <c r="W27" s="2" t="s">
        <v>133</v>
      </c>
      <c r="AV27" s="2">
        <v>80</v>
      </c>
    </row>
    <row r="28" spans="1:48" ht="90" x14ac:dyDescent="0.25">
      <c r="A28" s="52" t="s">
        <v>56</v>
      </c>
      <c r="B28" s="2">
        <v>18</v>
      </c>
      <c r="C28" s="6" t="s">
        <v>57</v>
      </c>
      <c r="D28" s="6" t="s">
        <v>49</v>
      </c>
      <c r="E28" s="5" t="s">
        <v>50</v>
      </c>
      <c r="F28" s="5" t="s">
        <v>51</v>
      </c>
      <c r="G28" s="2" t="s">
        <v>119</v>
      </c>
      <c r="I28" s="2">
        <f t="shared" si="3"/>
        <v>1440</v>
      </c>
      <c r="J28" s="2">
        <v>1520</v>
      </c>
      <c r="K28" s="2">
        <v>31258</v>
      </c>
      <c r="M28" s="2" t="s">
        <v>114</v>
      </c>
      <c r="N28" s="2" t="s">
        <v>114</v>
      </c>
      <c r="O28" s="2" t="s">
        <v>114</v>
      </c>
      <c r="Q28" s="2">
        <f t="shared" si="4"/>
        <v>80</v>
      </c>
      <c r="S28" s="6">
        <v>2332071</v>
      </c>
      <c r="T28" s="5"/>
      <c r="U28" s="15" t="s">
        <v>154</v>
      </c>
      <c r="W28" s="2" t="s">
        <v>133</v>
      </c>
      <c r="AV28" s="2">
        <v>80</v>
      </c>
    </row>
    <row r="29" spans="1:48" x14ac:dyDescent="0.25">
      <c r="A29" s="52" t="s">
        <v>58</v>
      </c>
      <c r="B29" s="2">
        <v>2</v>
      </c>
      <c r="C29" s="6" t="s">
        <v>59</v>
      </c>
      <c r="D29" s="6" t="s">
        <v>49</v>
      </c>
      <c r="E29" s="5" t="s">
        <v>50</v>
      </c>
      <c r="F29" s="5" t="s">
        <v>51</v>
      </c>
      <c r="G29" s="2" t="s">
        <v>119</v>
      </c>
      <c r="I29" s="2">
        <f t="shared" si="3"/>
        <v>160</v>
      </c>
      <c r="J29" s="2">
        <v>170</v>
      </c>
      <c r="K29" s="2">
        <v>31258</v>
      </c>
      <c r="M29" s="2" t="s">
        <v>114</v>
      </c>
      <c r="N29" s="2" t="s">
        <v>114</v>
      </c>
      <c r="O29" s="2" t="s">
        <v>114</v>
      </c>
      <c r="Q29" s="2">
        <f t="shared" si="4"/>
        <v>10</v>
      </c>
      <c r="S29" s="6">
        <v>2670094</v>
      </c>
      <c r="T29" s="5"/>
      <c r="U29" s="15" t="s">
        <v>155</v>
      </c>
      <c r="W29" s="2" t="s">
        <v>133</v>
      </c>
      <c r="AV29" s="2">
        <v>80</v>
      </c>
    </row>
    <row r="30" spans="1:48" ht="30" x14ac:dyDescent="0.25">
      <c r="A30" s="52" t="s">
        <v>60</v>
      </c>
      <c r="B30" s="2">
        <v>4</v>
      </c>
      <c r="C30" s="6" t="s">
        <v>61</v>
      </c>
      <c r="D30" s="6" t="s">
        <v>49</v>
      </c>
      <c r="E30" s="5" t="s">
        <v>50</v>
      </c>
      <c r="F30" s="5" t="s">
        <v>51</v>
      </c>
      <c r="G30" s="2" t="s">
        <v>119</v>
      </c>
      <c r="I30" s="2">
        <f t="shared" si="3"/>
        <v>320</v>
      </c>
      <c r="J30" s="2">
        <v>500</v>
      </c>
      <c r="K30" s="2">
        <v>31258</v>
      </c>
      <c r="M30" s="2" t="s">
        <v>114</v>
      </c>
      <c r="N30" s="2" t="s">
        <v>114</v>
      </c>
      <c r="O30" s="2" t="s">
        <v>114</v>
      </c>
      <c r="Q30" s="2">
        <f t="shared" ref="Q30:Q49" si="5">J30-I30</f>
        <v>180</v>
      </c>
      <c r="S30" s="6" t="s">
        <v>150</v>
      </c>
      <c r="T30" s="5"/>
      <c r="U30" s="15" t="s">
        <v>156</v>
      </c>
      <c r="W30" s="2" t="s">
        <v>133</v>
      </c>
      <c r="AV30" s="2">
        <v>80</v>
      </c>
    </row>
    <row r="31" spans="1:48" x14ac:dyDescent="0.25">
      <c r="A31" s="52" t="s">
        <v>62</v>
      </c>
      <c r="B31" s="2">
        <v>3</v>
      </c>
      <c r="C31" s="6" t="s">
        <v>63</v>
      </c>
      <c r="D31" s="6" t="s">
        <v>49</v>
      </c>
      <c r="E31" s="5" t="s">
        <v>50</v>
      </c>
      <c r="F31" s="5" t="s">
        <v>51</v>
      </c>
      <c r="G31" s="2" t="s">
        <v>119</v>
      </c>
      <c r="I31" s="2">
        <f t="shared" si="3"/>
        <v>240</v>
      </c>
      <c r="J31" s="2">
        <v>260</v>
      </c>
      <c r="K31" s="2">
        <v>31258</v>
      </c>
      <c r="M31" s="2" t="s">
        <v>114</v>
      </c>
      <c r="N31" s="2" t="s">
        <v>114</v>
      </c>
      <c r="O31" s="2" t="s">
        <v>114</v>
      </c>
      <c r="Q31" s="2">
        <f t="shared" si="5"/>
        <v>20</v>
      </c>
      <c r="S31" s="6">
        <v>2447627</v>
      </c>
      <c r="T31" s="5"/>
      <c r="U31" s="15" t="s">
        <v>157</v>
      </c>
      <c r="W31" s="2" t="s">
        <v>133</v>
      </c>
      <c r="AV31" s="2">
        <v>80</v>
      </c>
    </row>
    <row r="32" spans="1:48" s="44" customFormat="1" x14ac:dyDescent="0.25">
      <c r="A32" s="53"/>
      <c r="B32" s="41"/>
      <c r="C32" s="42"/>
      <c r="D32" s="42"/>
      <c r="E32" s="43"/>
      <c r="F32" s="43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2"/>
      <c r="T32" s="41"/>
      <c r="U32" s="41"/>
      <c r="V32" s="41"/>
      <c r="W32" s="41" t="s">
        <v>133</v>
      </c>
      <c r="X32" s="42"/>
      <c r="AV32" s="41"/>
    </row>
    <row r="33" spans="1:48" x14ac:dyDescent="0.25">
      <c r="A33" s="52" t="s">
        <v>64</v>
      </c>
      <c r="B33" s="2">
        <v>1</v>
      </c>
      <c r="C33" s="6" t="s">
        <v>65</v>
      </c>
      <c r="D33" s="6" t="s">
        <v>66</v>
      </c>
      <c r="E33" s="5" t="s">
        <v>67</v>
      </c>
      <c r="F33" s="5" t="s">
        <v>68</v>
      </c>
      <c r="G33" s="2" t="s">
        <v>119</v>
      </c>
      <c r="I33" s="2">
        <f>B33*AV33</f>
        <v>80</v>
      </c>
      <c r="J33" s="2">
        <v>90</v>
      </c>
      <c r="K33" s="2">
        <v>31258</v>
      </c>
      <c r="M33" s="2" t="s">
        <v>114</v>
      </c>
      <c r="N33" s="2" t="s">
        <v>117</v>
      </c>
      <c r="O33" s="4">
        <v>44819</v>
      </c>
      <c r="Q33" s="2">
        <f t="shared" si="5"/>
        <v>10</v>
      </c>
      <c r="S33" s="6">
        <v>3778050</v>
      </c>
      <c r="T33" s="5"/>
      <c r="U33" s="15" t="s">
        <v>159</v>
      </c>
      <c r="W33" s="2" t="s">
        <v>133</v>
      </c>
      <c r="AV33" s="2">
        <v>80</v>
      </c>
    </row>
    <row r="34" spans="1:48" x14ac:dyDescent="0.25">
      <c r="A34" s="52" t="s">
        <v>126</v>
      </c>
      <c r="B34" s="2">
        <v>2</v>
      </c>
      <c r="C34" s="6" t="s">
        <v>69</v>
      </c>
      <c r="D34" s="6" t="s">
        <v>70</v>
      </c>
      <c r="F34" s="5" t="s">
        <v>71</v>
      </c>
      <c r="G34" s="2" t="s">
        <v>119</v>
      </c>
      <c r="I34" s="2">
        <f>B34*AV34</f>
        <v>160</v>
      </c>
      <c r="J34" s="2">
        <v>170</v>
      </c>
      <c r="K34" s="2">
        <v>31258</v>
      </c>
      <c r="M34" s="2" t="s">
        <v>114</v>
      </c>
      <c r="N34" s="2" t="s">
        <v>114</v>
      </c>
      <c r="O34" s="2" t="s">
        <v>114</v>
      </c>
      <c r="Q34" s="2">
        <f t="shared" si="5"/>
        <v>10</v>
      </c>
      <c r="S34" s="6" t="s">
        <v>158</v>
      </c>
      <c r="T34" s="5"/>
      <c r="U34" s="15" t="s">
        <v>160</v>
      </c>
      <c r="W34" s="2" t="s">
        <v>133</v>
      </c>
      <c r="AV34" s="2">
        <v>80</v>
      </c>
    </row>
    <row r="35" spans="1:48" x14ac:dyDescent="0.25">
      <c r="I35" s="2">
        <f>B35*AV35</f>
        <v>0</v>
      </c>
      <c r="Q35" s="2">
        <f t="shared" si="5"/>
        <v>0</v>
      </c>
      <c r="AV35" s="2">
        <v>80</v>
      </c>
    </row>
    <row r="36" spans="1:48" s="44" customFormat="1" x14ac:dyDescent="0.25">
      <c r="A36" s="53"/>
      <c r="B36" s="41"/>
      <c r="C36" s="42"/>
      <c r="D36" s="42"/>
      <c r="E36" s="43"/>
      <c r="F36" s="43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2"/>
      <c r="T36" s="41"/>
      <c r="U36" s="41"/>
      <c r="V36" s="41"/>
      <c r="W36" s="41"/>
      <c r="X36" s="42"/>
      <c r="AV36" s="41"/>
    </row>
    <row r="37" spans="1:48" ht="15.75" thickBot="1" x14ac:dyDescent="0.3">
      <c r="A37" s="52" t="s">
        <v>72</v>
      </c>
      <c r="B37" s="2">
        <v>1</v>
      </c>
      <c r="C37" s="6" t="s">
        <v>73</v>
      </c>
      <c r="D37" s="6" t="s">
        <v>73</v>
      </c>
      <c r="E37" s="5" t="s">
        <v>74</v>
      </c>
      <c r="F37" s="5" t="s">
        <v>75</v>
      </c>
      <c r="G37" s="2" t="s">
        <v>119</v>
      </c>
      <c r="I37" s="2">
        <f t="shared" ref="I37:I46" si="6">B37*AV37</f>
        <v>80</v>
      </c>
      <c r="J37" s="2">
        <v>100</v>
      </c>
      <c r="K37" s="2">
        <v>31258</v>
      </c>
      <c r="M37" s="2" t="s">
        <v>114</v>
      </c>
      <c r="N37" s="2" t="s">
        <v>114</v>
      </c>
      <c r="O37" s="2" t="s">
        <v>114</v>
      </c>
      <c r="Q37" s="2">
        <f t="shared" si="5"/>
        <v>20</v>
      </c>
      <c r="S37" s="6" t="s">
        <v>161</v>
      </c>
      <c r="T37" s="5"/>
      <c r="U37" s="15" t="s">
        <v>162</v>
      </c>
      <c r="W37" s="2" t="s">
        <v>133</v>
      </c>
      <c r="AV37" s="2">
        <v>80</v>
      </c>
    </row>
    <row r="38" spans="1:48" s="18" customFormat="1" ht="16.5" thickTop="1" thickBot="1" x14ac:dyDescent="0.3">
      <c r="A38" s="54" t="s">
        <v>76</v>
      </c>
      <c r="B38" s="35">
        <v>2</v>
      </c>
      <c r="C38" s="36" t="s">
        <v>77</v>
      </c>
      <c r="D38" s="36" t="s">
        <v>77</v>
      </c>
      <c r="E38" s="37" t="s">
        <v>78</v>
      </c>
      <c r="F38" s="37" t="s">
        <v>79</v>
      </c>
      <c r="G38" s="35"/>
      <c r="H38" s="35"/>
      <c r="I38" s="35">
        <f t="shared" si="6"/>
        <v>160</v>
      </c>
      <c r="J38" s="16">
        <v>0</v>
      </c>
      <c r="K38" s="16" t="s">
        <v>127</v>
      </c>
      <c r="L38" s="16"/>
      <c r="M38" s="16" t="s">
        <v>117</v>
      </c>
      <c r="N38" s="16" t="s">
        <v>117</v>
      </c>
      <c r="O38" s="16" t="s">
        <v>130</v>
      </c>
      <c r="P38" s="16"/>
      <c r="Q38" s="38"/>
      <c r="R38" s="39"/>
      <c r="S38" s="40"/>
      <c r="W38" s="18" t="s">
        <v>133</v>
      </c>
      <c r="X38" s="48"/>
      <c r="AV38" s="16">
        <v>80</v>
      </c>
    </row>
    <row r="39" spans="1:48" ht="15.75" thickTop="1" x14ac:dyDescent="0.25">
      <c r="A39" s="52" t="s">
        <v>80</v>
      </c>
      <c r="B39" s="2">
        <v>2</v>
      </c>
      <c r="C39" s="6">
        <v>4094</v>
      </c>
      <c r="D39" s="6">
        <v>4094</v>
      </c>
      <c r="E39" s="5" t="s">
        <v>81</v>
      </c>
      <c r="F39" s="5" t="s">
        <v>82</v>
      </c>
      <c r="G39" s="2" t="s">
        <v>119</v>
      </c>
      <c r="I39" s="2">
        <f t="shared" si="6"/>
        <v>160</v>
      </c>
      <c r="J39" s="2">
        <v>170</v>
      </c>
      <c r="K39" s="2">
        <v>31258</v>
      </c>
      <c r="M39" s="2" t="s">
        <v>114</v>
      </c>
      <c r="N39" s="2" t="s">
        <v>114</v>
      </c>
      <c r="O39" s="4" t="s">
        <v>114</v>
      </c>
      <c r="Q39" s="2">
        <f t="shared" si="5"/>
        <v>10</v>
      </c>
      <c r="S39" s="6">
        <v>1201297</v>
      </c>
      <c r="T39" s="5"/>
      <c r="U39" s="15" t="s">
        <v>163</v>
      </c>
      <c r="V39" s="31"/>
      <c r="W39" s="7" t="s">
        <v>133</v>
      </c>
      <c r="X39" s="49" t="s">
        <v>183</v>
      </c>
      <c r="AV39" s="2">
        <v>80</v>
      </c>
    </row>
    <row r="40" spans="1:48" x14ac:dyDescent="0.25">
      <c r="A40" s="52" t="s">
        <v>83</v>
      </c>
      <c r="B40" s="2">
        <v>1</v>
      </c>
      <c r="C40" s="6">
        <v>4069</v>
      </c>
      <c r="D40" s="6">
        <v>4069</v>
      </c>
      <c r="E40" s="5" t="s">
        <v>84</v>
      </c>
      <c r="F40" s="5" t="s">
        <v>85</v>
      </c>
      <c r="G40" s="2" t="s">
        <v>119</v>
      </c>
      <c r="I40" s="2">
        <f t="shared" si="6"/>
        <v>80</v>
      </c>
      <c r="J40" s="2">
        <v>100</v>
      </c>
      <c r="K40" s="2">
        <v>31258</v>
      </c>
      <c r="M40" s="2" t="s">
        <v>114</v>
      </c>
      <c r="N40" s="2" t="s">
        <v>114</v>
      </c>
      <c r="O40" s="2" t="s">
        <v>114</v>
      </c>
      <c r="Q40" s="2">
        <f t="shared" si="5"/>
        <v>20</v>
      </c>
      <c r="S40" s="6">
        <v>1201295</v>
      </c>
      <c r="T40" s="5"/>
      <c r="U40" s="15" t="s">
        <v>164</v>
      </c>
      <c r="W40" s="2" t="s">
        <v>133</v>
      </c>
      <c r="AV40" s="2">
        <v>80</v>
      </c>
    </row>
    <row r="41" spans="1:48" ht="30" x14ac:dyDescent="0.25">
      <c r="A41" s="52" t="s">
        <v>86</v>
      </c>
      <c r="B41" s="2">
        <v>4</v>
      </c>
      <c r="C41" s="6">
        <v>4081</v>
      </c>
      <c r="D41" s="6">
        <v>4081</v>
      </c>
      <c r="E41" s="5" t="s">
        <v>84</v>
      </c>
      <c r="F41" s="5" t="s">
        <v>87</v>
      </c>
      <c r="G41" s="2" t="s">
        <v>119</v>
      </c>
      <c r="I41" s="2">
        <f t="shared" si="6"/>
        <v>320</v>
      </c>
      <c r="J41" s="2">
        <v>340</v>
      </c>
      <c r="K41" s="2">
        <v>31258</v>
      </c>
      <c r="M41" s="2" t="s">
        <v>114</v>
      </c>
      <c r="N41" s="2" t="s">
        <v>114</v>
      </c>
      <c r="O41" s="2" t="s">
        <v>114</v>
      </c>
      <c r="Q41" s="2">
        <f t="shared" si="5"/>
        <v>20</v>
      </c>
      <c r="S41" s="6">
        <v>1085290</v>
      </c>
      <c r="T41" s="5"/>
      <c r="U41" s="15" t="s">
        <v>165</v>
      </c>
      <c r="W41" s="2" t="s">
        <v>133</v>
      </c>
      <c r="AV41" s="2">
        <v>80</v>
      </c>
    </row>
    <row r="42" spans="1:48" x14ac:dyDescent="0.25">
      <c r="A42" s="52" t="s">
        <v>88</v>
      </c>
      <c r="B42" s="2">
        <v>2</v>
      </c>
      <c r="C42" s="6" t="s">
        <v>89</v>
      </c>
      <c r="D42" s="6" t="s">
        <v>89</v>
      </c>
      <c r="E42" s="5" t="s">
        <v>84</v>
      </c>
      <c r="F42" s="5" t="s">
        <v>90</v>
      </c>
      <c r="G42" s="2" t="s">
        <v>119</v>
      </c>
      <c r="I42" s="2">
        <f t="shared" si="6"/>
        <v>160</v>
      </c>
      <c r="J42" s="2">
        <v>170</v>
      </c>
      <c r="K42" s="2">
        <v>31258</v>
      </c>
      <c r="M42" s="2" t="s">
        <v>114</v>
      </c>
      <c r="N42" s="2" t="s">
        <v>114</v>
      </c>
      <c r="O42" s="2" t="s">
        <v>114</v>
      </c>
      <c r="Q42" s="2">
        <f t="shared" si="5"/>
        <v>10</v>
      </c>
      <c r="S42" s="6">
        <v>1085331</v>
      </c>
      <c r="T42" s="5"/>
      <c r="U42" s="15" t="s">
        <v>166</v>
      </c>
      <c r="W42" s="2" t="s">
        <v>133</v>
      </c>
      <c r="AV42" s="2">
        <v>80</v>
      </c>
    </row>
    <row r="43" spans="1:48" ht="30" x14ac:dyDescent="0.25">
      <c r="A43" s="52" t="s">
        <v>91</v>
      </c>
      <c r="B43" s="2">
        <v>3</v>
      </c>
      <c r="C43" s="6" t="s">
        <v>92</v>
      </c>
      <c r="D43" s="6" t="s">
        <v>92</v>
      </c>
      <c r="E43" s="5" t="s">
        <v>93</v>
      </c>
      <c r="F43" s="5" t="s">
        <v>94</v>
      </c>
      <c r="G43" s="2" t="s">
        <v>119</v>
      </c>
      <c r="I43" s="2">
        <f t="shared" si="6"/>
        <v>240</v>
      </c>
      <c r="J43" s="2">
        <v>252</v>
      </c>
      <c r="K43" s="2">
        <v>31258</v>
      </c>
      <c r="M43" s="2" t="s">
        <v>114</v>
      </c>
      <c r="N43" s="2" t="s">
        <v>114</v>
      </c>
      <c r="O43" s="2" t="s">
        <v>196</v>
      </c>
      <c r="Q43" s="2">
        <f t="shared" si="5"/>
        <v>12</v>
      </c>
      <c r="S43" s="6">
        <v>2774608</v>
      </c>
      <c r="U43" s="15" t="s">
        <v>167</v>
      </c>
      <c r="W43" s="2" t="s">
        <v>133</v>
      </c>
      <c r="AV43" s="2">
        <v>80</v>
      </c>
    </row>
    <row r="44" spans="1:48" x14ac:dyDescent="0.25">
      <c r="A44" s="52" t="s">
        <v>184</v>
      </c>
      <c r="B44" s="2">
        <v>2</v>
      </c>
      <c r="C44" s="6" t="s">
        <v>95</v>
      </c>
      <c r="D44" s="6" t="s">
        <v>95</v>
      </c>
      <c r="E44" s="5" t="s">
        <v>96</v>
      </c>
      <c r="F44" s="5" t="s">
        <v>97</v>
      </c>
      <c r="G44" s="2" t="s">
        <v>113</v>
      </c>
      <c r="I44" s="2">
        <f t="shared" si="6"/>
        <v>160</v>
      </c>
      <c r="J44" s="2">
        <v>84</v>
      </c>
      <c r="K44" s="2">
        <v>31361</v>
      </c>
      <c r="M44" s="2" t="s">
        <v>114</v>
      </c>
      <c r="N44" s="2" t="s">
        <v>114</v>
      </c>
      <c r="O44" s="2" t="s">
        <v>114</v>
      </c>
      <c r="Q44" s="2">
        <f t="shared" si="5"/>
        <v>-76</v>
      </c>
      <c r="S44" s="6" t="s">
        <v>174</v>
      </c>
      <c r="U44" s="6" t="s">
        <v>175</v>
      </c>
      <c r="W44" s="2" t="s">
        <v>133</v>
      </c>
      <c r="AV44" s="2">
        <v>80</v>
      </c>
    </row>
    <row r="45" spans="1:48" s="18" customFormat="1" x14ac:dyDescent="0.25">
      <c r="A45" s="55" t="s">
        <v>98</v>
      </c>
      <c r="B45" s="16">
        <v>1</v>
      </c>
      <c r="C45" s="27" t="s">
        <v>99</v>
      </c>
      <c r="D45" s="27" t="s">
        <v>99</v>
      </c>
      <c r="E45" s="34" t="s">
        <v>100</v>
      </c>
      <c r="F45" s="17" t="s">
        <v>101</v>
      </c>
      <c r="G45" s="16"/>
      <c r="H45" s="16"/>
      <c r="I45" s="16">
        <f t="shared" si="6"/>
        <v>80</v>
      </c>
      <c r="J45" s="16">
        <v>0</v>
      </c>
      <c r="K45" s="16"/>
      <c r="L45" s="16"/>
      <c r="M45" s="16" t="s">
        <v>117</v>
      </c>
      <c r="N45" s="16" t="s">
        <v>117</v>
      </c>
      <c r="O45" s="16" t="s">
        <v>129</v>
      </c>
      <c r="P45" s="16"/>
      <c r="Q45" s="16"/>
      <c r="R45" s="16"/>
      <c r="S45" s="27"/>
      <c r="T45" s="16"/>
      <c r="U45" s="16"/>
      <c r="V45" s="16"/>
      <c r="W45" s="16" t="s">
        <v>133</v>
      </c>
      <c r="X45" s="27"/>
      <c r="AV45" s="16">
        <v>80</v>
      </c>
    </row>
    <row r="46" spans="1:48" ht="30" x14ac:dyDescent="0.25">
      <c r="A46" s="52" t="s">
        <v>102</v>
      </c>
      <c r="B46" s="2">
        <v>3</v>
      </c>
      <c r="C46" s="6" t="s">
        <v>103</v>
      </c>
      <c r="D46" s="6" t="s">
        <v>103</v>
      </c>
      <c r="E46" s="6" t="s">
        <v>181</v>
      </c>
      <c r="F46" s="5" t="s">
        <v>104</v>
      </c>
      <c r="G46" s="2" t="s">
        <v>113</v>
      </c>
      <c r="I46" s="2">
        <f t="shared" si="6"/>
        <v>240</v>
      </c>
      <c r="J46" s="2">
        <v>250</v>
      </c>
      <c r="K46" s="2">
        <v>31244</v>
      </c>
      <c r="M46" s="2" t="s">
        <v>114</v>
      </c>
      <c r="N46" s="2" t="s">
        <v>114</v>
      </c>
      <c r="O46" s="2" t="s">
        <v>114</v>
      </c>
      <c r="Q46" s="2">
        <f t="shared" si="5"/>
        <v>10</v>
      </c>
      <c r="S46" s="6" t="s">
        <v>168</v>
      </c>
      <c r="T46" s="5"/>
      <c r="U46" s="15" t="s">
        <v>169</v>
      </c>
      <c r="W46" s="2" t="s">
        <v>133</v>
      </c>
      <c r="AV46" s="2">
        <v>80</v>
      </c>
    </row>
    <row r="47" spans="1:48" s="44" customFormat="1" x14ac:dyDescent="0.25">
      <c r="A47" s="53"/>
      <c r="B47" s="41"/>
      <c r="C47" s="42"/>
      <c r="D47" s="42"/>
      <c r="E47" s="43"/>
      <c r="F47" s="43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2"/>
      <c r="T47" s="41"/>
      <c r="U47" s="41"/>
      <c r="V47" s="41"/>
      <c r="W47" s="41" t="s">
        <v>133</v>
      </c>
      <c r="X47" s="42"/>
      <c r="AV47" s="41"/>
    </row>
    <row r="48" spans="1:48" x14ac:dyDescent="0.25">
      <c r="A48" s="52" t="s">
        <v>105</v>
      </c>
      <c r="B48" s="2">
        <v>2</v>
      </c>
      <c r="C48" s="6" t="s">
        <v>106</v>
      </c>
      <c r="D48" s="6" t="s">
        <v>107</v>
      </c>
      <c r="E48" s="5" t="s">
        <v>108</v>
      </c>
      <c r="F48" s="5" t="s">
        <v>109</v>
      </c>
      <c r="G48" s="2" t="s">
        <v>119</v>
      </c>
      <c r="I48" s="2">
        <f t="shared" ref="I48:I59" si="7">B48*AV48</f>
        <v>160</v>
      </c>
      <c r="J48" s="2">
        <v>170</v>
      </c>
      <c r="K48" s="2">
        <v>31258</v>
      </c>
      <c r="M48" s="2" t="s">
        <v>114</v>
      </c>
      <c r="N48" s="2" t="s">
        <v>114</v>
      </c>
      <c r="O48" s="2" t="s">
        <v>114</v>
      </c>
      <c r="Q48" s="2">
        <f t="shared" si="5"/>
        <v>10</v>
      </c>
      <c r="S48" s="6">
        <v>2467903</v>
      </c>
      <c r="U48" s="50" t="s">
        <v>177</v>
      </c>
      <c r="W48" s="2" t="s">
        <v>133</v>
      </c>
      <c r="AV48" s="2">
        <v>80</v>
      </c>
    </row>
    <row r="49" spans="1:48" x14ac:dyDescent="0.25">
      <c r="I49" s="2">
        <f t="shared" si="7"/>
        <v>0</v>
      </c>
      <c r="Q49" s="2">
        <f t="shared" si="5"/>
        <v>0</v>
      </c>
      <c r="W49" s="2" t="s">
        <v>133</v>
      </c>
      <c r="AV49" s="2">
        <v>80</v>
      </c>
    </row>
    <row r="50" spans="1:48" s="44" customFormat="1" x14ac:dyDescent="0.25">
      <c r="A50" s="53"/>
      <c r="B50" s="41"/>
      <c r="C50" s="42"/>
      <c r="D50" s="42"/>
      <c r="E50" s="43"/>
      <c r="F50" s="43"/>
      <c r="G50" s="41"/>
      <c r="H50" s="41"/>
      <c r="I50" s="41">
        <f t="shared" si="7"/>
        <v>0</v>
      </c>
      <c r="J50" s="41"/>
      <c r="K50" s="41"/>
      <c r="L50" s="41"/>
      <c r="M50" s="41"/>
      <c r="N50" s="41"/>
      <c r="O50" s="41"/>
      <c r="P50" s="41"/>
      <c r="Q50" s="41"/>
      <c r="R50" s="41"/>
      <c r="S50" s="42"/>
      <c r="T50" s="41"/>
      <c r="U50" s="41"/>
      <c r="V50" s="41"/>
      <c r="W50" s="41"/>
      <c r="X50" s="42"/>
      <c r="AV50" s="41">
        <v>80</v>
      </c>
    </row>
    <row r="51" spans="1:48" x14ac:dyDescent="0.25">
      <c r="I51" s="2">
        <f t="shared" si="7"/>
        <v>0</v>
      </c>
      <c r="AV51" s="2">
        <v>80</v>
      </c>
    </row>
    <row r="52" spans="1:48" x14ac:dyDescent="0.25">
      <c r="E52" s="5" t="s">
        <v>188</v>
      </c>
      <c r="I52" s="2">
        <f t="shared" si="7"/>
        <v>0</v>
      </c>
      <c r="AV52" s="2">
        <v>80</v>
      </c>
    </row>
    <row r="53" spans="1:48" x14ac:dyDescent="0.25">
      <c r="I53" s="2">
        <f t="shared" si="7"/>
        <v>0</v>
      </c>
      <c r="AV53" s="2">
        <v>80</v>
      </c>
    </row>
    <row r="54" spans="1:48" x14ac:dyDescent="0.25">
      <c r="E54" s="5" t="s">
        <v>189</v>
      </c>
      <c r="I54" s="2">
        <f t="shared" si="7"/>
        <v>0</v>
      </c>
      <c r="AV54" s="2">
        <v>80</v>
      </c>
    </row>
    <row r="55" spans="1:48" x14ac:dyDescent="0.25">
      <c r="E55" s="5" t="s">
        <v>190</v>
      </c>
      <c r="I55" s="2">
        <f t="shared" si="7"/>
        <v>0</v>
      </c>
      <c r="AV55" s="2">
        <v>80</v>
      </c>
    </row>
    <row r="56" spans="1:48" x14ac:dyDescent="0.25">
      <c r="E56" s="5" t="s">
        <v>191</v>
      </c>
      <c r="I56" s="2">
        <f t="shared" si="7"/>
        <v>0</v>
      </c>
      <c r="AV56" s="2">
        <v>80</v>
      </c>
    </row>
    <row r="57" spans="1:48" x14ac:dyDescent="0.25">
      <c r="E57" s="5" t="s">
        <v>192</v>
      </c>
      <c r="I57" s="2">
        <f t="shared" si="7"/>
        <v>0</v>
      </c>
    </row>
    <row r="58" spans="1:48" x14ac:dyDescent="0.25">
      <c r="I58" s="2">
        <f t="shared" si="7"/>
        <v>0</v>
      </c>
    </row>
    <row r="59" spans="1:48" x14ac:dyDescent="0.25">
      <c r="I59" s="2">
        <f t="shared" si="7"/>
        <v>0</v>
      </c>
    </row>
    <row r="60" spans="1:48" x14ac:dyDescent="0.25">
      <c r="E60" s="5" t="s">
        <v>193</v>
      </c>
    </row>
  </sheetData>
  <conditionalFormatting sqref="O11 O13:O15 M12:O12 M32:O32 O27:O31 M35:O36 O33:O34 M38:O38 O37 M49:O1048576 O39:O45 O47:O48 M26:O26 O25 M1:O10 M16:O24">
    <cfRule type="cellIs" dxfId="160" priority="233" operator="equal">
      <formula>"n"</formula>
    </cfRule>
    <cfRule type="cellIs" dxfId="159" priority="235" operator="equal">
      <formula>"y"</formula>
    </cfRule>
  </conditionalFormatting>
  <conditionalFormatting sqref="I1:I1048576">
    <cfRule type="cellIs" dxfId="158" priority="234" operator="equal">
      <formula>0</formula>
    </cfRule>
  </conditionalFormatting>
  <conditionalFormatting sqref="K12 K1:K10 K32 K35:K36 K38 K49:K1048576 K16:K24">
    <cfRule type="cellIs" dxfId="157" priority="226" operator="equal">
      <formula>$K$5</formula>
    </cfRule>
    <cfRule type="cellIs" dxfId="156" priority="227" operator="equal">
      <formula>$K$4</formula>
    </cfRule>
    <cfRule type="cellIs" dxfId="155" priority="228" operator="equal">
      <formula>#REF!</formula>
    </cfRule>
    <cfRule type="cellIs" dxfId="154" priority="229" operator="equal">
      <formula>#REF!</formula>
    </cfRule>
  </conditionalFormatting>
  <conditionalFormatting sqref="M11:N11">
    <cfRule type="cellIs" dxfId="153" priority="224" operator="equal">
      <formula>"n"</formula>
    </cfRule>
    <cfRule type="cellIs" dxfId="152" priority="225" operator="equal">
      <formula>"y"</formula>
    </cfRule>
  </conditionalFormatting>
  <conditionalFormatting sqref="K11">
    <cfRule type="cellIs" dxfId="151" priority="220" operator="equal">
      <formula>$K$5</formula>
    </cfRule>
    <cfRule type="cellIs" dxfId="150" priority="221" operator="equal">
      <formula>$K$4</formula>
    </cfRule>
    <cfRule type="cellIs" dxfId="149" priority="222" operator="equal">
      <formula>#REF!</formula>
    </cfRule>
    <cfRule type="cellIs" dxfId="148" priority="223" operator="equal">
      <formula>#REF!</formula>
    </cfRule>
  </conditionalFormatting>
  <conditionalFormatting sqref="M13:N13">
    <cfRule type="cellIs" dxfId="147" priority="218" operator="equal">
      <formula>"n"</formula>
    </cfRule>
    <cfRule type="cellIs" dxfId="146" priority="219" operator="equal">
      <formula>"y"</formula>
    </cfRule>
  </conditionalFormatting>
  <conditionalFormatting sqref="K13">
    <cfRule type="cellIs" dxfId="145" priority="214" operator="equal">
      <formula>$K$5</formula>
    </cfRule>
    <cfRule type="cellIs" dxfId="144" priority="215" operator="equal">
      <formula>$K$4</formula>
    </cfRule>
    <cfRule type="cellIs" dxfId="143" priority="216" operator="equal">
      <formula>#REF!</formula>
    </cfRule>
    <cfRule type="cellIs" dxfId="142" priority="217" operator="equal">
      <formula>#REF!</formula>
    </cfRule>
  </conditionalFormatting>
  <conditionalFormatting sqref="M14:N14">
    <cfRule type="cellIs" dxfId="141" priority="212" operator="equal">
      <formula>"n"</formula>
    </cfRule>
    <cfRule type="cellIs" dxfId="140" priority="213" operator="equal">
      <formula>"y"</formula>
    </cfRule>
  </conditionalFormatting>
  <conditionalFormatting sqref="K14">
    <cfRule type="cellIs" dxfId="139" priority="208" operator="equal">
      <formula>$K$5</formula>
    </cfRule>
    <cfRule type="cellIs" dxfId="138" priority="209" operator="equal">
      <formula>$K$4</formula>
    </cfRule>
    <cfRule type="cellIs" dxfId="137" priority="210" operator="equal">
      <formula>#REF!</formula>
    </cfRule>
    <cfRule type="cellIs" dxfId="136" priority="211" operator="equal">
      <formula>#REF!</formula>
    </cfRule>
  </conditionalFormatting>
  <conditionalFormatting sqref="M15:N15">
    <cfRule type="cellIs" dxfId="135" priority="206" operator="equal">
      <formula>"n"</formula>
    </cfRule>
    <cfRule type="cellIs" dxfId="134" priority="207" operator="equal">
      <formula>"y"</formula>
    </cfRule>
  </conditionalFormatting>
  <conditionalFormatting sqref="K15">
    <cfRule type="cellIs" dxfId="133" priority="202" operator="equal">
      <formula>$K$5</formula>
    </cfRule>
    <cfRule type="cellIs" dxfId="132" priority="203" operator="equal">
      <formula>$K$4</formula>
    </cfRule>
    <cfRule type="cellIs" dxfId="131" priority="204" operator="equal">
      <formula>#REF!</formula>
    </cfRule>
    <cfRule type="cellIs" dxfId="130" priority="205" operator="equal">
      <formula>#REF!</formula>
    </cfRule>
  </conditionalFormatting>
  <conditionalFormatting sqref="K26">
    <cfRule type="cellIs" dxfId="129" priority="130" operator="equal">
      <formula>$K$5</formula>
    </cfRule>
    <cfRule type="cellIs" dxfId="128" priority="131" operator="equal">
      <formula>$K$4</formula>
    </cfRule>
    <cfRule type="cellIs" dxfId="127" priority="132" operator="equal">
      <formula>#REF!</formula>
    </cfRule>
    <cfRule type="cellIs" dxfId="126" priority="133" operator="equal">
      <formula>#REF!</formula>
    </cfRule>
  </conditionalFormatting>
  <conditionalFormatting sqref="L26">
    <cfRule type="cellIs" dxfId="125" priority="126" operator="equal">
      <formula>$K$5</formula>
    </cfRule>
    <cfRule type="cellIs" dxfId="124" priority="127" operator="equal">
      <formula>$K$4</formula>
    </cfRule>
    <cfRule type="cellIs" dxfId="123" priority="128" operator="equal">
      <formula>#REF!</formula>
    </cfRule>
    <cfRule type="cellIs" dxfId="122" priority="129" operator="equal">
      <formula>#REF!</formula>
    </cfRule>
  </conditionalFormatting>
  <conditionalFormatting sqref="M27:N27">
    <cfRule type="cellIs" dxfId="121" priority="124" operator="equal">
      <formula>"n"</formula>
    </cfRule>
    <cfRule type="cellIs" dxfId="120" priority="125" operator="equal">
      <formula>"y"</formula>
    </cfRule>
  </conditionalFormatting>
  <conditionalFormatting sqref="K27">
    <cfRule type="cellIs" dxfId="119" priority="120" operator="equal">
      <formula>$K$5</formula>
    </cfRule>
    <cfRule type="cellIs" dxfId="118" priority="121" operator="equal">
      <formula>$K$4</formula>
    </cfRule>
    <cfRule type="cellIs" dxfId="117" priority="122" operator="equal">
      <formula>#REF!</formula>
    </cfRule>
    <cfRule type="cellIs" dxfId="116" priority="123" operator="equal">
      <formula>#REF!</formula>
    </cfRule>
  </conditionalFormatting>
  <conditionalFormatting sqref="M28:N28">
    <cfRule type="cellIs" dxfId="115" priority="118" operator="equal">
      <formula>"n"</formula>
    </cfRule>
    <cfRule type="cellIs" dxfId="114" priority="119" operator="equal">
      <formula>"y"</formula>
    </cfRule>
  </conditionalFormatting>
  <conditionalFormatting sqref="K28">
    <cfRule type="cellIs" dxfId="113" priority="114" operator="equal">
      <formula>$K$5</formula>
    </cfRule>
    <cfRule type="cellIs" dxfId="112" priority="115" operator="equal">
      <formula>$K$4</formula>
    </cfRule>
    <cfRule type="cellIs" dxfId="111" priority="116" operator="equal">
      <formula>#REF!</formula>
    </cfRule>
    <cfRule type="cellIs" dxfId="110" priority="117" operator="equal">
      <formula>#REF!</formula>
    </cfRule>
  </conditionalFormatting>
  <conditionalFormatting sqref="M29:N29">
    <cfRule type="cellIs" dxfId="109" priority="112" operator="equal">
      <formula>"n"</formula>
    </cfRule>
    <cfRule type="cellIs" dxfId="108" priority="113" operator="equal">
      <formula>"y"</formula>
    </cfRule>
  </conditionalFormatting>
  <conditionalFormatting sqref="K29">
    <cfRule type="cellIs" dxfId="107" priority="108" operator="equal">
      <formula>$K$5</formula>
    </cfRule>
    <cfRule type="cellIs" dxfId="106" priority="109" operator="equal">
      <formula>$K$4</formula>
    </cfRule>
    <cfRule type="cellIs" dxfId="105" priority="110" operator="equal">
      <formula>#REF!</formula>
    </cfRule>
    <cfRule type="cellIs" dxfId="104" priority="111" operator="equal">
      <formula>#REF!</formula>
    </cfRule>
  </conditionalFormatting>
  <conditionalFormatting sqref="M30:N30">
    <cfRule type="cellIs" dxfId="103" priority="106" operator="equal">
      <formula>"n"</formula>
    </cfRule>
    <cfRule type="cellIs" dxfId="102" priority="107" operator="equal">
      <formula>"y"</formula>
    </cfRule>
  </conditionalFormatting>
  <conditionalFormatting sqref="K30">
    <cfRule type="cellIs" dxfId="101" priority="102" operator="equal">
      <formula>$K$5</formula>
    </cfRule>
    <cfRule type="cellIs" dxfId="100" priority="103" operator="equal">
      <formula>$K$4</formula>
    </cfRule>
    <cfRule type="cellIs" dxfId="99" priority="104" operator="equal">
      <formula>#REF!</formula>
    </cfRule>
    <cfRule type="cellIs" dxfId="98" priority="105" operator="equal">
      <formula>#REF!</formula>
    </cfRule>
  </conditionalFormatting>
  <conditionalFormatting sqref="M31:N31">
    <cfRule type="cellIs" dxfId="97" priority="100" operator="equal">
      <formula>"n"</formula>
    </cfRule>
    <cfRule type="cellIs" dxfId="96" priority="101" operator="equal">
      <formula>"y"</formula>
    </cfRule>
  </conditionalFormatting>
  <conditionalFormatting sqref="K31">
    <cfRule type="cellIs" dxfId="95" priority="96" operator="equal">
      <formula>$K$5</formula>
    </cfRule>
    <cfRule type="cellIs" dxfId="94" priority="97" operator="equal">
      <formula>$K$4</formula>
    </cfRule>
    <cfRule type="cellIs" dxfId="93" priority="98" operator="equal">
      <formula>#REF!</formula>
    </cfRule>
    <cfRule type="cellIs" dxfId="92" priority="99" operator="equal">
      <formula>#REF!</formula>
    </cfRule>
  </conditionalFormatting>
  <conditionalFormatting sqref="M33:N33">
    <cfRule type="cellIs" dxfId="91" priority="94" operator="equal">
      <formula>"n"</formula>
    </cfRule>
    <cfRule type="cellIs" dxfId="90" priority="95" operator="equal">
      <formula>"y"</formula>
    </cfRule>
  </conditionalFormatting>
  <conditionalFormatting sqref="K33">
    <cfRule type="cellIs" dxfId="89" priority="90" operator="equal">
      <formula>$K$5</formula>
    </cfRule>
    <cfRule type="cellIs" dxfId="88" priority="91" operator="equal">
      <formula>$K$4</formula>
    </cfRule>
    <cfRule type="cellIs" dxfId="87" priority="92" operator="equal">
      <formula>#REF!</formula>
    </cfRule>
    <cfRule type="cellIs" dxfId="86" priority="93" operator="equal">
      <formula>#REF!</formula>
    </cfRule>
  </conditionalFormatting>
  <conditionalFormatting sqref="M34:N34">
    <cfRule type="cellIs" dxfId="85" priority="88" operator="equal">
      <formula>"n"</formula>
    </cfRule>
    <cfRule type="cellIs" dxfId="84" priority="89" operator="equal">
      <formula>"y"</formula>
    </cfRule>
  </conditionalFormatting>
  <conditionalFormatting sqref="K34">
    <cfRule type="cellIs" dxfId="83" priority="84" operator="equal">
      <formula>$K$5</formula>
    </cfRule>
    <cfRule type="cellIs" dxfId="82" priority="85" operator="equal">
      <formula>$K$4</formula>
    </cfRule>
    <cfRule type="cellIs" dxfId="81" priority="86" operator="equal">
      <formula>#REF!</formula>
    </cfRule>
    <cfRule type="cellIs" dxfId="80" priority="87" operator="equal">
      <formula>#REF!</formula>
    </cfRule>
  </conditionalFormatting>
  <conditionalFormatting sqref="M37:N37">
    <cfRule type="cellIs" dxfId="79" priority="82" operator="equal">
      <formula>"n"</formula>
    </cfRule>
    <cfRule type="cellIs" dxfId="78" priority="83" operator="equal">
      <formula>"y"</formula>
    </cfRule>
  </conditionalFormatting>
  <conditionalFormatting sqref="K37">
    <cfRule type="cellIs" dxfId="77" priority="78" operator="equal">
      <formula>$K$5</formula>
    </cfRule>
    <cfRule type="cellIs" dxfId="76" priority="79" operator="equal">
      <formula>$K$4</formula>
    </cfRule>
    <cfRule type="cellIs" dxfId="75" priority="80" operator="equal">
      <formula>#REF!</formula>
    </cfRule>
    <cfRule type="cellIs" dxfId="74" priority="81" operator="equal">
      <formula>#REF!</formula>
    </cfRule>
  </conditionalFormatting>
  <conditionalFormatting sqref="M39:N39">
    <cfRule type="cellIs" dxfId="73" priority="76" operator="equal">
      <formula>"n"</formula>
    </cfRule>
    <cfRule type="cellIs" dxfId="72" priority="77" operator="equal">
      <formula>"y"</formula>
    </cfRule>
  </conditionalFormatting>
  <conditionalFormatting sqref="K39">
    <cfRule type="cellIs" dxfId="71" priority="72" operator="equal">
      <formula>$K$5</formula>
    </cfRule>
    <cfRule type="cellIs" dxfId="70" priority="73" operator="equal">
      <formula>$K$4</formula>
    </cfRule>
    <cfRule type="cellIs" dxfId="69" priority="74" operator="equal">
      <formula>#REF!</formula>
    </cfRule>
    <cfRule type="cellIs" dxfId="68" priority="75" operator="equal">
      <formula>#REF!</formula>
    </cfRule>
  </conditionalFormatting>
  <conditionalFormatting sqref="M40:N40">
    <cfRule type="cellIs" dxfId="67" priority="70" operator="equal">
      <formula>"n"</formula>
    </cfRule>
    <cfRule type="cellIs" dxfId="66" priority="71" operator="equal">
      <formula>"y"</formula>
    </cfRule>
  </conditionalFormatting>
  <conditionalFormatting sqref="K40">
    <cfRule type="cellIs" dxfId="65" priority="66" operator="equal">
      <formula>$K$5</formula>
    </cfRule>
    <cfRule type="cellIs" dxfId="64" priority="67" operator="equal">
      <formula>$K$4</formula>
    </cfRule>
    <cfRule type="cellIs" dxfId="63" priority="68" operator="equal">
      <formula>#REF!</formula>
    </cfRule>
    <cfRule type="cellIs" dxfId="62" priority="69" operator="equal">
      <formula>#REF!</formula>
    </cfRule>
  </conditionalFormatting>
  <conditionalFormatting sqref="M41:N41">
    <cfRule type="cellIs" dxfId="61" priority="64" operator="equal">
      <formula>"n"</formula>
    </cfRule>
    <cfRule type="cellIs" dxfId="60" priority="65" operator="equal">
      <formula>"y"</formula>
    </cfRule>
  </conditionalFormatting>
  <conditionalFormatting sqref="K41">
    <cfRule type="cellIs" dxfId="59" priority="60" operator="equal">
      <formula>$K$5</formula>
    </cfRule>
    <cfRule type="cellIs" dxfId="58" priority="61" operator="equal">
      <formula>$K$4</formula>
    </cfRule>
    <cfRule type="cellIs" dxfId="57" priority="62" operator="equal">
      <formula>#REF!</formula>
    </cfRule>
    <cfRule type="cellIs" dxfId="56" priority="63" operator="equal">
      <formula>#REF!</formula>
    </cfRule>
  </conditionalFormatting>
  <conditionalFormatting sqref="M42:N42">
    <cfRule type="cellIs" dxfId="55" priority="58" operator="equal">
      <formula>"n"</formula>
    </cfRule>
    <cfRule type="cellIs" dxfId="54" priority="59" operator="equal">
      <formula>"y"</formula>
    </cfRule>
  </conditionalFormatting>
  <conditionalFormatting sqref="K42">
    <cfRule type="cellIs" dxfId="53" priority="54" operator="equal">
      <formula>$K$5</formula>
    </cfRule>
    <cfRule type="cellIs" dxfId="52" priority="55" operator="equal">
      <formula>$K$4</formula>
    </cfRule>
    <cfRule type="cellIs" dxfId="51" priority="56" operator="equal">
      <formula>#REF!</formula>
    </cfRule>
    <cfRule type="cellIs" dxfId="50" priority="57" operator="equal">
      <formula>#REF!</formula>
    </cfRule>
  </conditionalFormatting>
  <conditionalFormatting sqref="M43:N43">
    <cfRule type="cellIs" dxfId="49" priority="52" operator="equal">
      <formula>"n"</formula>
    </cfRule>
    <cfRule type="cellIs" dxfId="48" priority="53" operator="equal">
      <formula>"y"</formula>
    </cfRule>
  </conditionalFormatting>
  <conditionalFormatting sqref="K43">
    <cfRule type="cellIs" dxfId="47" priority="48" operator="equal">
      <formula>$K$5</formula>
    </cfRule>
    <cfRule type="cellIs" dxfId="46" priority="49" operator="equal">
      <formula>$K$4</formula>
    </cfRule>
    <cfRule type="cellIs" dxfId="45" priority="50" operator="equal">
      <formula>#REF!</formula>
    </cfRule>
    <cfRule type="cellIs" dxfId="44" priority="51" operator="equal">
      <formula>#REF!</formula>
    </cfRule>
  </conditionalFormatting>
  <conditionalFormatting sqref="M44:N44">
    <cfRule type="cellIs" dxfId="43" priority="46" operator="equal">
      <formula>"n"</formula>
    </cfRule>
    <cfRule type="cellIs" dxfId="42" priority="47" operator="equal">
      <formula>"y"</formula>
    </cfRule>
  </conditionalFormatting>
  <conditionalFormatting sqref="K44">
    <cfRule type="cellIs" dxfId="41" priority="42" operator="equal">
      <formula>$K$5</formula>
    </cfRule>
    <cfRule type="cellIs" dxfId="40" priority="43" operator="equal">
      <formula>$K$4</formula>
    </cfRule>
    <cfRule type="cellIs" dxfId="39" priority="44" operator="equal">
      <formula>#REF!</formula>
    </cfRule>
    <cfRule type="cellIs" dxfId="38" priority="45" operator="equal">
      <formula>#REF!</formula>
    </cfRule>
  </conditionalFormatting>
  <conditionalFormatting sqref="M45:N45">
    <cfRule type="cellIs" dxfId="37" priority="40" operator="equal">
      <formula>"n"</formula>
    </cfRule>
    <cfRule type="cellIs" dxfId="36" priority="41" operator="equal">
      <formula>"y"</formula>
    </cfRule>
  </conditionalFormatting>
  <conditionalFormatting sqref="K45">
    <cfRule type="cellIs" dxfId="35" priority="36" operator="equal">
      <formula>$K$5</formula>
    </cfRule>
    <cfRule type="cellIs" dxfId="34" priority="37" operator="equal">
      <formula>$K$4</formula>
    </cfRule>
    <cfRule type="cellIs" dxfId="33" priority="38" operator="equal">
      <formula>#REF!</formula>
    </cfRule>
    <cfRule type="cellIs" dxfId="32" priority="39" operator="equal">
      <formula>#REF!</formula>
    </cfRule>
  </conditionalFormatting>
  <conditionalFormatting sqref="M47:N47">
    <cfRule type="cellIs" dxfId="31" priority="28" operator="equal">
      <formula>"n"</formula>
    </cfRule>
    <cfRule type="cellIs" dxfId="30" priority="29" operator="equal">
      <formula>"y"</formula>
    </cfRule>
  </conditionalFormatting>
  <conditionalFormatting sqref="K47">
    <cfRule type="cellIs" dxfId="29" priority="24" operator="equal">
      <formula>$K$5</formula>
    </cfRule>
    <cfRule type="cellIs" dxfId="28" priority="25" operator="equal">
      <formula>$K$4</formula>
    </cfRule>
    <cfRule type="cellIs" dxfId="27" priority="26" operator="equal">
      <formula>#REF!</formula>
    </cfRule>
    <cfRule type="cellIs" dxfId="26" priority="27" operator="equal">
      <formula>#REF!</formula>
    </cfRule>
  </conditionalFormatting>
  <conditionalFormatting sqref="M48:N48">
    <cfRule type="cellIs" dxfId="25" priority="22" operator="equal">
      <formula>"n"</formula>
    </cfRule>
    <cfRule type="cellIs" dxfId="24" priority="23" operator="equal">
      <formula>"y"</formula>
    </cfRule>
  </conditionalFormatting>
  <conditionalFormatting sqref="K48">
    <cfRule type="cellIs" dxfId="23" priority="18" operator="equal">
      <formula>$K$5</formula>
    </cfRule>
    <cfRule type="cellIs" dxfId="22" priority="19" operator="equal">
      <formula>$K$4</formula>
    </cfRule>
    <cfRule type="cellIs" dxfId="21" priority="20" operator="equal">
      <formula>#REF!</formula>
    </cfRule>
    <cfRule type="cellIs" dxfId="20" priority="21" operator="equal">
      <formula>#REF!</formula>
    </cfRule>
  </conditionalFormatting>
  <conditionalFormatting sqref="K46">
    <cfRule type="cellIs" dxfId="19" priority="14" operator="equal">
      <formula>$K$5</formula>
    </cfRule>
    <cfRule type="cellIs" dxfId="18" priority="15" operator="equal">
      <formula>$K$4</formula>
    </cfRule>
    <cfRule type="cellIs" dxfId="17" priority="16" operator="equal">
      <formula>#REF!</formula>
    </cfRule>
    <cfRule type="cellIs" dxfId="16" priority="17" operator="equal">
      <formula>#REF!</formula>
    </cfRule>
  </conditionalFormatting>
  <conditionalFormatting sqref="M46:O46">
    <cfRule type="cellIs" dxfId="15" priority="12" operator="equal">
      <formula>"n"</formula>
    </cfRule>
    <cfRule type="cellIs" dxfId="14" priority="13" operator="equal">
      <formula>"y"</formula>
    </cfRule>
  </conditionalFormatting>
  <conditionalFormatting sqref="M25:N25">
    <cfRule type="cellIs" dxfId="13" priority="10" operator="equal">
      <formula>"n"</formula>
    </cfRule>
    <cfRule type="cellIs" dxfId="12" priority="11" operator="equal">
      <formula>"y"</formula>
    </cfRule>
  </conditionalFormatting>
  <conditionalFormatting sqref="K25">
    <cfRule type="cellIs" dxfId="11" priority="6" operator="equal">
      <formula>$K$5</formula>
    </cfRule>
    <cfRule type="cellIs" dxfId="10" priority="7" operator="equal">
      <formula>$K$4</formula>
    </cfRule>
    <cfRule type="cellIs" dxfId="9" priority="8" operator="equal">
      <formula>#REF!</formula>
    </cfRule>
    <cfRule type="cellIs" dxfId="8" priority="9" operator="equal">
      <formula>#REF!</formula>
    </cfRule>
  </conditionalFormatting>
  <conditionalFormatting sqref="K12">
    <cfRule type="cellIs" dxfId="7" priority="1" operator="equal">
      <formula>$K$5</formula>
    </cfRule>
    <cfRule type="cellIs" dxfId="6" priority="2" operator="equal">
      <formula>$K$4</formula>
    </cfRule>
    <cfRule type="cellIs" dxfId="5" priority="3" operator="equal">
      <formula>#REF!</formula>
    </cfRule>
    <cfRule type="cellIs" dxfId="4" priority="4" operator="equal">
      <formula>#REF!</formula>
    </cfRule>
  </conditionalFormatting>
  <conditionalFormatting sqref="Q1:R1048576">
    <cfRule type="cellIs" dxfId="3" priority="230" operator="greaterThan">
      <formula>0</formula>
    </cfRule>
    <cfRule type="cellIs" dxfId="2" priority="231" operator="lessThan">
      <formula>0</formula>
    </cfRule>
    <cfRule type="cellIs" dxfId="1" priority="232" operator="equal">
      <formula>0</formula>
    </cfRule>
  </conditionalFormatting>
  <conditionalFormatting sqref="K1:K1048576">
    <cfRule type="cellIs" dxfId="0" priority="327" operator="equal">
      <formula>$K$44</formula>
    </cfRule>
  </conditionalFormatting>
  <hyperlinks>
    <hyperlink ref="U18" r:id="rId1"/>
    <hyperlink ref="U19" r:id="rId2"/>
    <hyperlink ref="U4" r:id="rId3"/>
    <hyperlink ref="U6" r:id="rId4"/>
    <hyperlink ref="U7" r:id="rId5"/>
    <hyperlink ref="U8" r:id="rId6"/>
    <hyperlink ref="U11" r:id="rId7"/>
    <hyperlink ref="U13" r:id="rId8"/>
    <hyperlink ref="U14" r:id="rId9"/>
    <hyperlink ref="U15" r:id="rId10"/>
    <hyperlink ref="U22" r:id="rId11"/>
    <hyperlink ref="U25" r:id="rId12"/>
    <hyperlink ref="U26" r:id="rId13"/>
    <hyperlink ref="U27" r:id="rId14"/>
    <hyperlink ref="U28" r:id="rId15"/>
    <hyperlink ref="U29" r:id="rId16"/>
    <hyperlink ref="U30" r:id="rId17"/>
    <hyperlink ref="U31" r:id="rId18"/>
    <hyperlink ref="U33" r:id="rId19"/>
    <hyperlink ref="U37" r:id="rId20"/>
    <hyperlink ref="U39" r:id="rId21"/>
    <hyperlink ref="U40" r:id="rId22"/>
    <hyperlink ref="U41" r:id="rId23"/>
    <hyperlink ref="U42" r:id="rId24"/>
    <hyperlink ref="U43" r:id="rId25"/>
    <hyperlink ref="U46" r:id="rId26"/>
    <hyperlink ref="U3" r:id="rId27"/>
    <hyperlink ref="U5" r:id="rId28"/>
    <hyperlink ref="U12" r:id="rId29"/>
    <hyperlink ref="U48" r:id="rId30"/>
  </hyperlinks>
  <pageMargins left="0.7" right="0.7" top="0.75" bottom="0.75" header="0.3" footer="0.3"/>
  <pageSetup paperSize="9" scale="46" orientation="landscape" r:id="rId3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RemoteLabs_supervisor_PCB</vt:lpstr>
      <vt:lpstr>RemoteLabs_supervisor_PCB!Print_Area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Imogen</dc:creator>
  <cp:lastModifiedBy>HEARD Declan</cp:lastModifiedBy>
  <cp:lastPrinted>2022-06-09T09:16:11Z</cp:lastPrinted>
  <dcterms:created xsi:type="dcterms:W3CDTF">2022-05-04T14:37:04Z</dcterms:created>
  <dcterms:modified xsi:type="dcterms:W3CDTF">2022-06-09T09:27:05Z</dcterms:modified>
</cp:coreProperties>
</file>